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custom-properties" Target="docProps/custom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x00960933\AppData\Roaming\WeLink_Desktop\appdata\IM\x00960933\DownloadFiles\"/>
  <bookViews>
    <workbookView activeTab="0"/>
  </bookViews>
  <sheets>
    <sheet name="DeepEP低时延" sheetId="1" r:id="rId3"/>
  </sheets>
  <calcPr calcId="191029"/>
</workbook>
</file>

<file path=xl/sharedStrings.xml><?xml version="1.0" encoding="utf-8"?>
<sst xmlns="http://schemas.openxmlformats.org/spreadsheetml/2006/main" count="187" uniqueCount="187">
  <si>
    <t/>
  </si>
  <si>
    <t>DeepEP 高吞吐  性能对比表</t>
  </si>
  <si>
    <t>带宽单位：GB/s。统一逻辑带宽口径；正提升率表示带宽提高。</t>
  </si>
  <si>
    <t>负责人</t>
  </si>
  <si>
    <t xml:space="preserve"> 李绍勋 / 张耘齐</t>
  </si>
  <si>
    <t>DeepSeek   Dispatch   带宽（GB/s）</t>
  </si>
  <si>
    <t>Pod</t>
  </si>
  <si>
    <t>EP</t>
  </si>
  <si>
    <t>BS</t>
  </si>
  <si>
    <t>ds发布
（实际传输数据量）</t>
  </si>
  <si>
    <t>10.8优化版本
（算子带宽）</t>
  </si>
  <si>
    <t>参数配置：
H=7168
TOPK=6
Moe_num=384
（PS &gt;=256 Moe_num=512）
Dispatch FP8
环境配置：
EP&lt;=64 Turbo1
EP&gt;=128 Turbo2
开启rxdma水线
RP3 HDK&amp;CANN B080</t>
  </si>
  <si>
    <t>210-224</t>
  </si>
  <si>
    <t>373–375</t>
  </si>
  <si>
    <t>217-231</t>
  </si>
  <si>
    <t>253-273</t>
  </si>
  <si>
    <t>348–352</t>
  </si>
  <si>
    <t>255-281</t>
  </si>
  <si>
    <t>365-378</t>
  </si>
  <si>
    <t xml:space="preserve">335–340 </t>
  </si>
  <si>
    <t>337-380</t>
  </si>
  <si>
    <t>370-395</t>
  </si>
  <si>
    <t>323–327</t>
  </si>
  <si>
    <t>395-408</t>
  </si>
  <si>
    <t>305-311</t>
  </si>
  <si>
    <t>313–320</t>
  </si>
  <si>
    <t>319-325</t>
  </si>
  <si>
    <t>173-177</t>
  </si>
  <si>
    <t>184-189</t>
  </si>
  <si>
    <t>DeepSeek   Combine   带宽（GB/s）</t>
  </si>
  <si>
    <t>优化版本
（算子带宽）</t>
  </si>
  <si>
    <t>参数配置：
H=7168
TOPK=6
Moe_num=384
Combine BF16
环境配置：
EP&lt;=64 Turbo1
EP&gt;=128 Turbo2
开启rxdma水线
RP3 HDK&amp;CANN</t>
  </si>
  <si>
    <t>211-228</t>
  </si>
  <si>
    <t>345–347</t>
  </si>
  <si>
    <t>215-225</t>
  </si>
  <si>
    <t>249-268</t>
  </si>
  <si>
    <t>338–341</t>
  </si>
  <si>
    <t>253-268</t>
  </si>
  <si>
    <t>314-337</t>
  </si>
  <si>
    <t>320–324</t>
  </si>
  <si>
    <t>311-336</t>
  </si>
  <si>
    <t>337-349</t>
  </si>
  <si>
    <t>294–298</t>
  </si>
  <si>
    <t>364-376</t>
  </si>
  <si>
    <t>271-288</t>
  </si>
  <si>
    <t>272–278</t>
  </si>
  <si>
    <t>301-305</t>
  </si>
  <si>
    <t>159-165</t>
  </si>
  <si>
    <t>176-179</t>
  </si>
  <si>
    <t>MegaMoE 高吞吐算子性能对比表</t>
  </si>
  <si>
    <t>耗时单位：μs。Seq=4K；W4A8；正提升率表示耗时下降。</t>
  </si>
  <si>
    <t>汤潘锐</t>
  </si>
  <si>
    <t>Base版本</t>
  </si>
  <si>
    <t>10.8优化版本</t>
  </si>
  <si>
    <t>MFU（带空泡）</t>
  </si>
  <si>
    <t>MFU（不带空泡）</t>
  </si>
  <si>
    <t>掩盖率（不带共享专家）</t>
  </si>
  <si>
    <t>dispatch/combine带宽</t>
  </si>
  <si>
    <t>算力（TFLOPS）</t>
  </si>
  <si>
    <t>MFU（严格）</t>
  </si>
  <si>
    <t>megamoe:小算子用时</t>
  </si>
  <si>
    <t>134.63/178.95 GB/s</t>
  </si>
  <si>
    <t>132.58/145.39 GB/s</t>
  </si>
  <si>
    <t>125.13/140.45 GB/s</t>
  </si>
  <si>
    <t>125.69/151.57 GB/s</t>
  </si>
  <si>
    <t>版本/HDK/RXDMA参数/日志链接：9.2.0 26.2.0.B020</t>
  </si>
  <si>
    <t>DeepEP 低时延 Dispatch 性能对比表</t>
  </si>
  <si>
    <t>DeepEP 低时延 Combine 性能对比表</t>
  </si>
  <si>
    <t>耗时单位：μs。各版本统计口径一致；正提升率表示耗时下降。</t>
  </si>
  <si>
    <t xml:space="preserve"> 刘博熙/ 李杨</t>
  </si>
  <si>
    <t>DeepSeek   EP 32 Dispatch   耗时（μs）</t>
  </si>
  <si>
    <t>DeepSeek   EP 32 Combine   耗时（μs）</t>
  </si>
  <si>
    <t>POD KIMI之前汇报版本
CANN主线+优化</t>
  </si>
  <si>
    <t>相比Base提升率</t>
  </si>
  <si>
    <t>PC16数据
CANN主线代码</t>
  </si>
  <si>
    <t>优化版本</t>
  </si>
  <si>
    <t>参数配置：
H=7168
TOPK=6
Moe_num=384
Dispatch FP8
环境配置：
待填写</t>
  </si>
  <si>
    <t>参数配置：
H=7168
TOPK=6
Moe_num=384
Combine BF16
环境配置：
待填写</t>
  </si>
  <si>
    <t>使用transfomer和deepseek开源仓作为baseline作为性能对比；</t>
  </si>
  <si>
    <t>DeepSeek   EP 64 Dispatch   耗时（μs）</t>
  </si>
  <si>
    <t>DeepSeek   EP 64 Combine   耗时（μs）</t>
  </si>
  <si>
    <t>优化版本
DeepEP</t>
  </si>
  <si>
    <t>POD
CANN主线代码</t>
  </si>
  <si>
    <t>参数配置：
H=7168
TOPK=6
Moe_num=384
Dispatch FP8
环境配置：
CANN B080
Turbo 1</t>
  </si>
  <si>
    <t>22</t>
  </si>
  <si>
    <t>参数配置：
H=7168
TOPK=6
Moe_num=384
Combine BF16
环境配置：
CANN B080
Turbo 1</t>
  </si>
  <si>
    <t>14</t>
  </si>
  <si>
    <t>16</t>
  </si>
  <si>
    <t>版本/HDK/RXDMA参数/日志链接：待填</t>
  </si>
  <si>
    <t>DeepSeek   EP 128 Dispatch   耗时（μs）</t>
  </si>
  <si>
    <t>DeepSeek   EP 128 Combine   耗时（μs）</t>
  </si>
  <si>
    <t>add by lingwenkai
之前测试的数据
CANN主线代码</t>
  </si>
  <si>
    <t>PC16数据
CANN主线代码
10.8</t>
  </si>
  <si>
    <t>DeepSeek   EP 256 Dispatch   耗时（μs）</t>
  </si>
  <si>
    <t>DeepSeek   EP 256 Combine   耗时（μs）</t>
  </si>
  <si>
    <t>Base版本(CANN)</t>
  </si>
  <si>
    <t>K3   EP 32 Dispatch   耗时（μs）</t>
  </si>
  <si>
    <t>K3   EP 32 Combine   耗时（μs）</t>
  </si>
  <si>
    <t>参数配置：
H=3584
TOPK=16
Moe_num=896
Dispatch BF16
环境配置：
待填写</t>
  </si>
  <si>
    <t>参数配置：
H=3584
TOPK=16
Moe_num=896
Combine BF16
环境配置：
待填写</t>
  </si>
  <si>
    <t>K3   EP 64 Dispatch   耗时（μs）</t>
  </si>
  <si>
    <t>K3   EP 64 Combine   耗时（μs）</t>
  </si>
  <si>
    <t>10.19测试 bf16</t>
  </si>
  <si>
    <t>10.19测试 fp8</t>
  </si>
  <si>
    <t>10.19测试</t>
  </si>
  <si>
    <t>参数配置：
H=3584
TOPK=16
Moe_num=896
Dispatch FP8
环境配置：
待填写</t>
  </si>
  <si>
    <t>K3   EP 128 Dispatch   耗时（μs）</t>
  </si>
  <si>
    <t>K3   EP 128 Combine   耗时（μs）</t>
  </si>
  <si>
    <t>K3   EP 256 Dispatch   耗时（μs）</t>
  </si>
  <si>
    <t>K3   EP 256 Combine   耗时（μs）</t>
  </si>
  <si>
    <t>MegaMoE 低时延算子性能对比表</t>
  </si>
  <si>
    <t>耗时单位：μs。W4A8；重点BS=96，覆盖原低时延BS档位。</t>
  </si>
  <si>
    <t>MegaMoE   EP 32   耗时（μs）</t>
  </si>
  <si>
    <t>Base版本(小算子級聯）</t>
  </si>
  <si>
    <t>参数配置：
W4A8
重点BS=96
H=7168/TOPK=6/E=384/S=0：待填写
环境配置：
待填写</t>
  </si>
  <si>
    <t>MegaMoE   EP 64   耗时（μs）</t>
  </si>
  <si>
    <t>算力（TFLOPs）</t>
  </si>
  <si>
    <t>75.93/329.52 GB/s</t>
  </si>
  <si>
    <t>MegaMoE   EP 128   耗时（μs）</t>
  </si>
  <si>
    <t>90.04/138.28 GB/s</t>
  </si>
  <si>
    <t>MegaMoE   EP 256   耗时（μs）</t>
  </si>
  <si>
    <t>参数配置：
W4A8
重点BS=96
H=7168/TOPK=2/E=512/S=0：待填写
环境配置：
待填写</t>
  </si>
  <si>
    <t>EP8</t>
  </si>
  <si>
    <t>DS开源</t>
  </si>
  <si>
    <t>Ours</t>
  </si>
  <si>
    <t>Experts</t>
  </si>
  <si>
    <t>Hidden</t>
  </si>
  <si>
    <t>Intermediate</t>
  </si>
  <si>
    <t>Tokens</t>
  </si>
  <si>
    <t>Base Latency (us)</t>
  </si>
  <si>
    <t>K3 MegaMoE   EP 256   耗时（μs）</t>
  </si>
  <si>
    <t>参数配置：
W4A8
重点BS=96
H=3584/TOPK=16/E=1024/S=0：待填写
环境配置：同上
待填写</t>
  </si>
  <si>
    <t>K3 MegaMoE   EP 128  耗时（μs）</t>
  </si>
  <si>
    <t>参数配置：
W4A8
重点BS=96
H=3584/TOPK=16/E=896/S=0：待填写
环境配置：同上
待填写</t>
  </si>
  <si>
    <t>K3 MegaMoE   EP 64  耗时（μs）</t>
  </si>
  <si>
    <t>K3 MegaMoE   EP 32  耗时（μs）</t>
  </si>
  <si>
    <t>MoonEP 高吞吐 Dispatch &amp; Combine 性能对比表</t>
  </si>
  <si>
    <t>K3   Dispatch   带宽（GB/s）</t>
  </si>
  <si>
    <t>Seq</t>
  </si>
  <si>
    <t>10.8版本</t>
  </si>
  <si>
    <t>930测试数据</t>
  </si>
  <si>
    <t>参数配置：
Seq=8K（8192）
H=3584
TOPK=16
E=896
Dispatch BF16
环境配置：
待填写</t>
  </si>
  <si>
    <t>271GB/s</t>
  </si>
  <si>
    <t>286GB/s</t>
  </si>
  <si>
    <t>321GB/s</t>
  </si>
  <si>
    <t>422GB/s</t>
  </si>
  <si>
    <t>406GB/s</t>
  </si>
  <si>
    <t>233GB/s</t>
  </si>
  <si>
    <t>版本/HDK/RXDMA参数/日志链接：待填。EP512资源待落实。</t>
  </si>
  <si>
    <t>K3   Combine   带宽（GB/s）</t>
  </si>
  <si>
    <t>K3 case：Seq=8K，H=3584，TOPK=16，E=896，BF16。</t>
  </si>
  <si>
    <t>参数配置：
Seq=8K（8192）
H=3584
TOPK=16
E=896
Combine BF16
环境配置：
待填写</t>
  </si>
  <si>
    <t>247GB/s</t>
  </si>
  <si>
    <t>261GB/s</t>
  </si>
  <si>
    <t>360GB/s</t>
  </si>
  <si>
    <t>386GB/s</t>
  </si>
  <si>
    <t>318GB/s</t>
  </si>
  <si>
    <t>10.12版本339GB/s</t>
  </si>
  <si>
    <t>180GB/s</t>
  </si>
  <si>
    <t>场景</t>
  </si>
  <si>
    <t>算子</t>
  </si>
  <si>
    <t>责任人</t>
  </si>
  <si>
    <t>代码验证</t>
  </si>
  <si>
    <t>是否完成readme部分</t>
  </si>
  <si>
    <t>高吞吐</t>
  </si>
  <si>
    <t>推理Prefill</t>
  </si>
  <si>
    <t>Dispatch(FP8）</t>
  </si>
  <si>
    <t>李绍勋/张耘齐</t>
  </si>
  <si>
    <t>0.5H~1H</t>
  </si>
  <si>
    <t>Combine(BF16)</t>
  </si>
  <si>
    <t>MegaMoE</t>
  </si>
  <si>
    <t>低时延</t>
  </si>
  <si>
    <t>推理Decode</t>
  </si>
  <si>
    <t>Dispatch</t>
  </si>
  <si>
    <t>刘博熙/张子渊</t>
  </si>
  <si>
    <t>Combine</t>
  </si>
  <si>
    <r>
      <rPr>
        <rFont val="宋体"/>
        <charset val="134"/>
        <family val="3"/>
        <color rgb="FF000000"/>
        <sz val="11"/>
      </rPr>
      <t>MegaMoE 高吞吐</t>
    </r>
    <r>
      <rPr>
        <rFont val="宋体"/>
        <charset val="134"/>
        <family val="3"/>
        <color rgb="FF000000"/>
        <sz val="11"/>
      </rPr>
      <t xml:space="preserve">   耗时（</t>
    </r>
    <r>
      <rPr>
        <rFont val="Calibri"/>
        <family val="2"/>
        <color rgb="FF000000"/>
        <sz val="11"/>
      </rPr>
      <t>μ</t>
    </r>
    <r>
      <rPr>
        <rFont val="宋体"/>
        <charset val="134"/>
        <family val="3"/>
        <color rgb="FF000000"/>
        <sz val="11"/>
      </rPr>
      <t>s）</t>
    </r>
  </si>
  <si>
    <r>
      <rPr>
        <rFont val="宋体"/>
        <charset val="134"/>
        <family val="3"/>
        <color rgb="FF000000"/>
        <sz val="11"/>
      </rPr>
      <t>参数配置：</t>
    </r>
    <r>
      <rPr>
        <rFont val="宋体"/>
        <charset val="134"/>
        <family val="3"/>
        <color rgb="FF000000"/>
        <sz val="11"/>
      </rPr>
      <t xml:space="preserve">
Seq=4K（4096）</t>
    </r>
    <r>
      <rPr>
        <rFont val="宋体"/>
        <charset val="134"/>
        <family val="3"/>
        <color rgb="FF000000"/>
        <sz val="11"/>
      </rPr>
      <t xml:space="preserve">
W4A8</t>
    </r>
    <r>
      <rPr>
        <rFont val="宋体"/>
        <charset val="134"/>
        <family val="3"/>
        <color rgb="FF000000"/>
        <sz val="11"/>
      </rPr>
      <t xml:space="preserve">
H/TOPK/E：参考上面Deepep</t>
    </r>
    <r>
      <rPr>
        <rFont val="宋体"/>
        <charset val="134"/>
        <family val="3"/>
        <color rgb="FF000000"/>
        <sz val="11"/>
      </rPr>
      <t xml:space="preserve">
环境配置：</t>
    </r>
    <r>
      <rPr>
        <rFont val="宋体"/>
        <charset val="134"/>
        <family val="3"/>
        <color rgb="FF000000"/>
        <sz val="11"/>
      </rPr>
      <t xml:space="preserve">
待填写</t>
    </r>
  </si>
  <si>
    <r>
      <rPr>
        <rFont val="Arial"/>
        <family val="2"/>
        <b val="1"/>
        <color rgb="FF172B45"/>
        <sz val="21"/>
      </rPr>
      <t>62.16</t>
    </r>
    <r>
      <rPr>
        <rFont val="Arial"/>
        <family val="2"/>
        <b val="1"/>
        <color rgb="FF172B45"/>
        <sz val="21"/>
      </rPr>
      <t> </t>
    </r>
    <r>
      <rPr>
        <rFont val="Arial"/>
        <family val="2"/>
        <color rgb="FF172B45"/>
        <sz val="9"/>
      </rPr>
      <t>%</t>
    </r>
  </si>
  <si>
    <r>
      <rPr>
        <rFont val="Arial"/>
        <family val="2"/>
        <b val="1"/>
        <color rgb="FF172B45"/>
        <sz val="21"/>
      </rPr>
      <t>72.27</t>
    </r>
    <r>
      <rPr>
        <rFont val="Arial"/>
        <family val="2"/>
        <b val="1"/>
        <color rgb="FF172B45"/>
        <sz val="21"/>
      </rPr>
      <t> </t>
    </r>
    <r>
      <rPr>
        <rFont val="Arial"/>
        <family val="2"/>
        <color rgb="FF172B45"/>
        <sz val="9"/>
      </rPr>
      <t>%</t>
    </r>
  </si>
  <si>
    <r>
      <rPr>
        <rFont val="Arial"/>
        <family val="2"/>
        <b val="1"/>
        <color rgb="FF172B45"/>
        <sz val="21"/>
      </rPr>
      <t>66.08</t>
    </r>
    <r>
      <rPr>
        <rFont val="Arial"/>
        <family val="2"/>
        <b val="1"/>
        <color rgb="FF172B45"/>
        <sz val="21"/>
      </rPr>
      <t> </t>
    </r>
    <r>
      <rPr>
        <rFont val="Arial"/>
        <family val="2"/>
        <color rgb="FF172B45"/>
        <sz val="9"/>
      </rPr>
      <t>%</t>
    </r>
  </si>
  <si>
    <r>
      <rPr>
        <rFont val="Arial"/>
        <family val="2"/>
        <b val="1"/>
        <color rgb="FF172B45"/>
        <sz val="21"/>
      </rPr>
      <t>41.08</t>
    </r>
    <r>
      <rPr>
        <rFont val="Arial"/>
        <family val="2"/>
        <b val="1"/>
        <color rgb="FF172B45"/>
        <sz val="21"/>
      </rPr>
      <t> </t>
    </r>
    <r>
      <rPr>
        <rFont val="Arial"/>
        <family val="2"/>
        <color rgb="FF172B45"/>
        <sz val="9"/>
      </rPr>
      <t>%</t>
    </r>
  </si>
  <si>
    <r>
      <rPr>
        <rFont val="Arial"/>
        <family val="2"/>
        <b val="1"/>
        <color rgb="FF172B45"/>
        <sz val="21"/>
      </rPr>
      <t>65.08</t>
    </r>
    <r>
      <rPr>
        <rFont val="Arial"/>
        <family val="2"/>
        <b val="1"/>
        <color rgb="FF172B45"/>
        <sz val="21"/>
      </rPr>
      <t> </t>
    </r>
    <r>
      <rPr>
        <rFont val="Arial"/>
        <family val="2"/>
        <color rgb="FF172B45"/>
        <sz val="9"/>
      </rPr>
      <t>%</t>
    </r>
  </si>
  <si>
    <r>
      <rPr>
        <rFont val="Arial"/>
        <family val="2"/>
        <b val="1"/>
        <color rgb="FF172B45"/>
        <sz val="21"/>
      </rPr>
      <t>83.62</t>
    </r>
    <r>
      <rPr>
        <rFont val="Arial"/>
        <family val="2"/>
        <b val="1"/>
        <color rgb="FF172B45"/>
        <sz val="21"/>
      </rPr>
      <t> </t>
    </r>
    <r>
      <rPr>
        <rFont val="Arial"/>
        <family val="2"/>
        <color rgb="FF172B45"/>
        <sz val="9"/>
      </rPr>
      <t>%</t>
    </r>
  </si>
  <si>
    <r>
      <rPr>
        <rFont val="Arial"/>
        <family val="2"/>
        <b val="1"/>
        <color rgb="FF172B45"/>
        <sz val="21"/>
      </rPr>
      <t>56.16</t>
    </r>
    <r>
      <rPr>
        <rFont val="Arial"/>
        <family val="2"/>
        <b val="1"/>
        <color rgb="FF172B45"/>
        <sz val="21"/>
      </rPr>
      <t> </t>
    </r>
    <r>
      <rPr>
        <rFont val="Arial"/>
        <family val="2"/>
        <color rgb="FF172B45"/>
        <sz val="9"/>
      </rPr>
      <t>%</t>
    </r>
  </si>
  <si>
    <r>
      <rPr>
        <rFont val="Arial"/>
        <family val="2"/>
        <b val="1"/>
        <color rgb="FF172B45"/>
        <sz val="21"/>
      </rPr>
      <t>36.55</t>
    </r>
    <r>
      <rPr>
        <rFont val="Arial"/>
        <family val="2"/>
        <b val="1"/>
        <color rgb="FF172B45"/>
        <sz val="21"/>
      </rPr>
      <t> </t>
    </r>
    <r>
      <rPr>
        <rFont val="Arial"/>
        <family val="2"/>
        <color rgb="FF172B45"/>
        <sz val="9"/>
      </rPr>
      <t>%</t>
    </r>
  </si>
  <si>
    <r>
      <rPr>
        <rFont val="宋体"/>
        <charset val="134"/>
        <family val="3"/>
        <color rgb="FF000000"/>
        <sz val="11"/>
      </rPr>
      <t>曾子豪</t>
    </r>
    <r>
      <rPr>
        <rFont val="Tahoma"/>
        <family val="2"/>
        <color rgb="FF000000"/>
        <sz val="11"/>
      </rPr>
      <t> </t>
    </r>
    <r>
      <rPr>
        <rFont val="宋体"/>
        <charset val="134"/>
        <family val="3"/>
        <color rgb="FF000000"/>
        <sz val="11"/>
      </rPr>
      <t>/ 朱王逸</t>
    </r>
  </si>
</sst>
</file>

<file path=xl/styles.xml><?xml version="1.0" encoding="utf-8"?>
<styleSheet xmlns="http://schemas.openxmlformats.org/spreadsheetml/2006/main">
  <numFmts count="2">
    <numFmt numFmtId="300" formatCode="0%;\-0%;0%"/>
    <numFmt numFmtId="301" formatCode="General"/>
  </numFmts>
  <fonts count="12">
    <font>
      <name val="Carlito"/>
      <charset val="134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color rgb="FF595959"/>
      <sz val="10"/>
    </font>
    <font>
      <name val="宋体"/>
      <charset val="134"/>
      <family val="3"/>
      <color rgb="FF000000"/>
      <sz val="11"/>
    </font>
    <font>
      <name val="Carlito"/>
      <charset val="134"/>
      <color rgb="FF000000"/>
      <sz val="11"/>
    </font>
    <font>
      <name val="Carlito"/>
      <charset val="134"/>
      <sz val="11"/>
    </font>
    <font>
      <name val="Arial"/>
      <family val="2"/>
      <b val="1"/>
      <color rgb="FF172B45"/>
      <sz val="21"/>
    </font>
    <font>
      <name val="微软雅黑"/>
      <charset val="134"/>
      <family val="2"/>
      <b val="1"/>
      <color rgb="FF1D1D1A"/>
      <sz val="10"/>
    </font>
    <font>
      <name val="微软雅黑"/>
      <charset val="134"/>
      <family val="2"/>
      <color rgb="FF1D1D1A"/>
      <sz val="10"/>
    </font>
    <font/>
  </fonts>
  <fills count="10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3F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E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DDDDD"/>
        <bgColor indexed="64"/>
      </patternFill>
    </fill>
    <fill>
      <patternFill patternType="solid">
        <bgColor rgb="FFFBAB77"/>
      </patternFill>
    </fill>
    <fill>
      <patternFill patternType="solid">
        <bgColor rgb="FFF8696B"/>
      </patternFill>
    </fill>
    <fill>
      <patternFill patternType="solid">
        <bgColor rgb="FFFEE382"/>
      </patternFill>
    </fill>
    <fill>
      <patternFill patternType="solid">
        <bgColor rgb="FFFDD27F"/>
      </patternFill>
    </fill>
    <fill>
      <patternFill patternType="solid">
        <bgColor rgb="FFF4E783"/>
      </patternFill>
    </fill>
    <fill>
      <patternFill patternType="solid">
        <bgColor rgb="FFFBA476"/>
      </patternFill>
    </fill>
    <fill>
      <patternFill patternType="solid">
        <bgColor rgb="FFFDCA7D"/>
      </patternFill>
    </fill>
    <fill>
      <patternFill patternType="solid">
        <bgColor rgb="FFF87A6E"/>
      </patternFill>
    </fill>
    <fill>
      <patternFill patternType="solid">
        <bgColor rgb="FF88C87D"/>
      </patternFill>
    </fill>
    <fill>
      <patternFill patternType="solid">
        <bgColor rgb="FFFA9A74"/>
      </patternFill>
    </fill>
    <fill>
      <patternFill patternType="solid">
        <bgColor rgb="FFFEDC81"/>
      </patternFill>
    </fill>
    <fill>
      <patternFill patternType="solid">
        <bgColor rgb="FFFEDA80"/>
      </patternFill>
    </fill>
    <fill>
      <patternFill patternType="solid">
        <bgColor rgb="FFBCD780"/>
      </patternFill>
    </fill>
    <fill>
      <patternFill patternType="solid">
        <bgColor rgb="FFCBDC81"/>
      </patternFill>
    </fill>
    <fill>
      <patternFill patternType="solid">
        <bgColor rgb="FFF98C71"/>
      </patternFill>
    </fill>
    <fill>
      <patternFill patternType="solid">
        <bgColor rgb="FF63BE7B"/>
      </patternFill>
    </fill>
    <fill>
      <patternFill patternType="solid">
        <bgColor rgb="FFFA9373"/>
      </patternFill>
    </fill>
    <fill>
      <patternFill patternType="solid">
        <bgColor rgb="FFFEE983"/>
      </patternFill>
    </fill>
    <fill>
      <patternFill patternType="solid">
        <bgColor rgb="FFFEEA83"/>
      </patternFill>
    </fill>
    <fill>
      <patternFill patternType="solid">
        <bgColor rgb="FFFDCE7E"/>
      </patternFill>
    </fill>
    <fill>
      <patternFill patternType="solid">
        <bgColor rgb="FFF8736D"/>
      </patternFill>
    </fill>
    <fill>
      <patternFill patternType="solid">
        <bgColor rgb="FFFBA676"/>
      </patternFill>
    </fill>
    <fill>
      <patternFill patternType="solid">
        <bgColor rgb="FFF98670"/>
      </patternFill>
    </fill>
    <fill>
      <patternFill patternType="solid">
        <bgColor rgb="FFFDD37F"/>
      </patternFill>
    </fill>
    <fill>
      <patternFill patternType="solid">
        <bgColor rgb="FFF98B71"/>
      </patternFill>
    </fill>
    <fill>
      <patternFill patternType="solid">
        <bgColor rgb="FFFDCD7E"/>
      </patternFill>
    </fill>
    <fill>
      <patternFill patternType="solid">
        <bgColor rgb="FFFDC77D"/>
      </patternFill>
    </fill>
    <fill>
      <patternFill patternType="solid">
        <bgColor rgb="FF8FCA7D"/>
      </patternFill>
    </fill>
    <fill>
      <patternFill patternType="solid">
        <bgColor rgb="FFF98A71"/>
      </patternFill>
    </fill>
    <fill>
      <patternFill patternType="solid">
        <bgColor rgb="FFFCBD7B"/>
      </patternFill>
    </fill>
    <fill>
      <patternFill patternType="solid">
        <bgColor rgb="FFF86E6C"/>
      </patternFill>
    </fill>
    <fill>
      <patternFill patternType="solid">
        <bgColor rgb="FF9BCE7E"/>
      </patternFill>
    </fill>
    <fill>
      <patternFill patternType="solid">
        <bgColor rgb="FFFCC47C"/>
      </patternFill>
    </fill>
    <fill>
      <patternFill patternType="solid">
        <bgColor rgb="FFFEDD81"/>
      </patternFill>
    </fill>
    <fill>
      <patternFill patternType="solid">
        <bgColor rgb="FFFEE182"/>
      </patternFill>
    </fill>
    <fill>
      <patternFill patternType="solid">
        <bgColor rgb="FFBDD880"/>
      </patternFill>
    </fill>
    <fill>
      <patternFill patternType="solid">
        <bgColor rgb="FFCCDC81"/>
      </patternFill>
    </fill>
    <fill>
      <patternFill patternType="solid">
        <bgColor rgb="FFB6D57F"/>
      </patternFill>
    </fill>
    <fill>
      <patternFill patternType="solid">
        <bgColor rgb="FFFBAC77"/>
      </patternFill>
    </fill>
    <fill>
      <patternFill patternType="solid">
        <bgColor rgb="FF9ACD7E"/>
      </patternFill>
    </fill>
    <fill>
      <patternFill patternType="solid">
        <bgColor rgb="FFB5D57F"/>
      </patternFill>
    </fill>
    <fill>
      <patternFill patternType="solid">
        <bgColor rgb="FF64BE7B"/>
      </patternFill>
    </fill>
    <fill>
      <patternFill patternType="solid">
        <bgColor rgb="FFF2E783"/>
      </patternFill>
    </fill>
    <fill>
      <patternFill patternType="solid">
        <bgColor rgb="FFDFE182"/>
      </patternFill>
    </fill>
    <fill>
      <patternFill patternType="solid">
        <bgColor rgb="FFEBE582"/>
      </patternFill>
    </fill>
    <fill>
      <patternFill patternType="solid">
        <bgColor rgb="FFABD37F"/>
      </patternFill>
    </fill>
    <fill>
      <patternFill patternType="solid">
        <bgColor rgb="FFA9D27F"/>
      </patternFill>
    </fill>
    <fill>
      <patternFill patternType="solid">
        <bgColor rgb="FFA3D07E"/>
      </patternFill>
    </fill>
    <fill>
      <patternFill patternType="solid">
        <bgColor rgb="FFBED880"/>
      </patternFill>
    </fill>
    <fill>
      <patternFill patternType="solid">
        <bgColor rgb="FFD2DE81"/>
      </patternFill>
    </fill>
    <fill>
      <patternFill patternType="solid">
        <bgColor rgb="FFE4E382"/>
      </patternFill>
    </fill>
    <fill>
      <patternFill patternType="solid">
        <bgColor rgb="FFC5DA80"/>
      </patternFill>
    </fill>
    <fill>
      <patternFill patternType="solid">
        <bgColor rgb="FFF3E783"/>
      </patternFill>
    </fill>
    <fill>
      <patternFill patternType="solid">
        <bgColor rgb="FFB9D780"/>
      </patternFill>
    </fill>
    <fill>
      <patternFill patternType="solid">
        <bgColor rgb="FFFDD680"/>
      </patternFill>
    </fill>
    <fill>
      <patternFill patternType="solid">
        <bgColor rgb="FFFED880"/>
      </patternFill>
    </fill>
    <fill>
      <patternFill patternType="solid">
        <bgColor rgb="FFFDD07E"/>
      </patternFill>
    </fill>
    <fill>
      <patternFill patternType="solid">
        <bgColor rgb="FFD8DF81"/>
      </patternFill>
    </fill>
    <fill>
      <patternFill patternType="solid">
        <bgColor rgb="FFF8E983"/>
      </patternFill>
    </fill>
    <fill>
      <patternFill patternType="solid">
        <bgColor rgb="FF9FCF7E"/>
      </patternFill>
    </fill>
    <fill>
      <patternFill patternType="solid">
        <bgColor rgb="FFFEE583"/>
      </patternFill>
    </fill>
    <fill>
      <patternFill patternType="solid">
        <bgColor rgb="FFFCBB7A"/>
      </patternFill>
    </fill>
    <fill>
      <patternFill patternType="solid">
        <bgColor rgb="FFFEDB81"/>
      </patternFill>
    </fill>
    <fill>
      <patternFill patternType="solid">
        <bgColor rgb="FFFEDF81"/>
      </patternFill>
    </fill>
    <fill>
      <patternFill patternType="solid">
        <bgColor rgb="FFFCC37C"/>
      </patternFill>
    </fill>
    <fill>
      <patternFill patternType="solid">
        <bgColor rgb="FFFBB178"/>
      </patternFill>
    </fill>
    <fill>
      <patternFill patternType="solid">
        <bgColor rgb="FF94CC7D"/>
      </patternFill>
    </fill>
    <fill>
      <patternFill patternType="solid">
        <bgColor rgb="FF6AC07B"/>
      </patternFill>
    </fill>
    <fill>
      <patternFill patternType="solid">
        <bgColor rgb="FFFCBE7B"/>
      </patternFill>
    </fill>
    <fill>
      <patternFill patternType="solid">
        <bgColor rgb="FFFEE082"/>
      </patternFill>
    </fill>
    <fill>
      <patternFill patternType="solid">
        <bgColor rgb="FFFBB078"/>
      </patternFill>
    </fill>
    <fill>
      <patternFill patternType="solid">
        <bgColor rgb="FFFEE683"/>
      </patternFill>
    </fill>
    <fill>
      <patternFill patternType="solid">
        <bgColor rgb="FF78C47C"/>
      </patternFill>
    </fill>
    <fill>
      <patternFill patternType="solid">
        <bgColor rgb="FF96CC7D"/>
      </patternFill>
    </fill>
    <fill>
      <patternFill patternType="solid">
        <bgColor rgb="FFFCB97A"/>
      </patternFill>
    </fill>
    <fill>
      <patternFill patternType="solid">
        <bgColor rgb="FFC7DB80"/>
      </patternFill>
    </fill>
    <fill>
      <patternFill patternType="solid">
        <bgColor rgb="FFFEE081"/>
      </patternFill>
    </fill>
    <fill>
      <patternFill patternType="solid">
        <bgColor rgb="FFE2E282"/>
      </patternFill>
    </fill>
    <fill>
      <patternFill patternType="solid">
        <bgColor rgb="FFFDD17F"/>
      </patternFill>
    </fill>
    <fill>
      <patternFill patternType="solid">
        <bgColor rgb="FF8AC97D"/>
      </patternFill>
    </fill>
    <fill>
      <patternFill patternType="solid">
        <bgColor rgb="FFC0D980"/>
      </patternFill>
    </fill>
    <fill>
      <patternFill patternType="solid">
        <bgColor rgb="FFCEDD81"/>
      </patternFill>
    </fill>
    <fill>
      <patternFill patternType="solid">
        <bgColor rgb="FFF5E883"/>
      </patternFill>
    </fill>
    <fill>
      <patternFill patternType="solid">
        <bgColor rgb="FFA5D17E"/>
      </patternFill>
    </fill>
    <fill>
      <patternFill patternType="solid">
        <bgColor rgb="FF6DC07B"/>
      </patternFill>
    </fill>
    <fill>
      <patternFill patternType="solid">
        <bgColor rgb="FF8BC97D"/>
      </patternFill>
    </fill>
    <fill>
      <patternFill patternType="solid">
        <bgColor rgb="FF6FC17B"/>
      </patternFill>
    </fill>
    <fill>
      <patternFill patternType="solid">
        <bgColor rgb="FFFA9473"/>
      </patternFill>
    </fill>
    <fill>
      <patternFill patternType="none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 style="medium">
        <color rgb="FF1D1D1A"/>
      </bottom>
      <diagonal/>
    </border>
    <border>
      <left/>
      <right/>
      <top/>
      <bottom/>
      <diagonal/>
    </border>
  </borders>
  <cellStyleXfs>
    <xf numFmtId="301" fontId="7" fillId="0" borderId="22" xfId="0"/>
    <xf numFmtId="301" fontId="7" fillId="104" borderId="22" xfId="0"/>
  </cellStyleXfs>
  <cellXfs count="19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104" borderId="22" xfId="1" applyFont="1" applyAlignment="1">
      <alignment horizontal="center" vertical="center"/>
    </xf>
    <xf numFmtId="301" fontId="4" fillId="104" borderId="22" xfId="1" applyFont="1" applyAlignment="1">
      <alignment horizontal="center" vertical="center"/>
    </xf>
    <xf numFmtId="301" fontId="5" fillId="104" borderId="22" xfId="1" applyFont="1" applyAlignment="1">
      <alignment horizontal="center" vertical="center"/>
    </xf>
    <xf numFmtId="301" fontId="5" fillId="104" borderId="1" xfId="1" applyFont="1" applyBorder="1" applyAlignment="1">
      <alignment horizontal="center" vertical="center"/>
    </xf>
    <xf numFmtId="301" fontId="5" fillId="104" borderId="1" xfId="1" applyFont="1" applyBorder="1" applyAlignment="1">
      <alignment horizontal="center" vertical="center" wrapText="1"/>
    </xf>
    <xf numFmtId="301" fontId="5" fillId="104" borderId="2" xfId="1" applyFont="1" applyBorder="1" applyAlignment="1">
      <alignment horizontal="center" vertical="center" wrapText="1"/>
    </xf>
    <xf numFmtId="301" fontId="5" fillId="104" borderId="3" xfId="1" applyFont="1" applyBorder="1" applyAlignment="1">
      <alignment horizontal="center" vertical="center"/>
    </xf>
    <xf numFmtId="301" fontId="5" fillId="104" borderId="4" xfId="1" applyFont="1" applyBorder="1" applyAlignment="1">
      <alignment horizontal="center" vertical="center"/>
    </xf>
    <xf numFmtId="301" fontId="5" fillId="104" borderId="2" xfId="1" applyFont="1" applyBorder="1" applyAlignment="1">
      <alignment horizontal="center" vertical="center"/>
    </xf>
    <xf numFmtId="301" fontId="6" fillId="0" borderId="22" xfId="0" applyFont="1"/>
    <xf numFmtId="1" fontId="5" fillId="2" borderId="1" xfId="1" applyNumberFormat="1" applyFont="1" applyFill="1" applyBorder="1" applyAlignment="1">
      <alignment horizontal="center" vertical="center"/>
    </xf>
    <xf numFmtId="1" fontId="5" fillId="104" borderId="1" xfId="1" applyNumberFormat="1" applyFont="1" applyBorder="1" applyAlignment="1">
      <alignment horizontal="center" vertical="center"/>
    </xf>
    <xf numFmtId="2" fontId="5" fillId="104" borderId="1" xfId="1" applyNumberFormat="1" applyFont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 vertical="center"/>
    </xf>
    <xf numFmtId="2" fontId="5" fillId="104" borderId="5" xfId="1" applyNumberFormat="1" applyFont="1" applyBorder="1" applyAlignment="1">
      <alignment horizontal="center" vertical="center"/>
    </xf>
    <xf numFmtId="301" fontId="6" fillId="0" borderId="2" xfId="0" applyFont="1" applyBorder="1"/>
    <xf numFmtId="301" fontId="7" fillId="0" borderId="6" xfId="0" applyBorder="1"/>
    <xf numFmtId="301" fontId="7" fillId="0" borderId="2" xfId="0" applyBorder="1"/>
    <xf numFmtId="9" fontId="7" fillId="0" borderId="2" xfId="0" applyNumberFormat="1" applyBorder="1"/>
    <xf numFmtId="1" fontId="5" fillId="3" borderId="1" xfId="1" applyNumberFormat="1" applyFont="1" applyFill="1" applyBorder="1" applyAlignment="1">
      <alignment horizontal="center" vertical="center"/>
    </xf>
    <xf numFmtId="2" fontId="5" fillId="3" borderId="1" xfId="1" applyNumberFormat="1" applyFont="1" applyFill="1" applyBorder="1" applyAlignment="1">
      <alignment horizontal="center" vertical="center"/>
    </xf>
    <xf numFmtId="2" fontId="5" fillId="4" borderId="1" xfId="1" applyNumberFormat="1" applyFont="1" applyFill="1" applyBorder="1" applyAlignment="1">
      <alignment horizontal="center" vertical="center"/>
    </xf>
    <xf numFmtId="301" fontId="7" fillId="0" borderId="22" xfId="0"/>
    <xf numFmtId="301" fontId="5" fillId="104" borderId="7" xfId="1" applyFont="1" applyBorder="1" applyAlignment="1">
      <alignment horizontal="center" vertical="center" wrapText="1"/>
    </xf>
    <xf numFmtId="1" fontId="5" fillId="2" borderId="7" xfId="1" applyNumberFormat="1" applyFont="1" applyFill="1" applyBorder="1" applyAlignment="1">
      <alignment horizontal="center" vertical="center"/>
    </xf>
    <xf numFmtId="1" fontId="5" fillId="104" borderId="2" xfId="1" applyNumberFormat="1" applyFont="1" applyBorder="1" applyAlignment="1">
      <alignment horizontal="center" vertical="center"/>
    </xf>
    <xf numFmtId="2" fontId="5" fillId="104" borderId="2" xfId="1" applyNumberFormat="1" applyFont="1" applyBorder="1" applyAlignment="1">
      <alignment horizontal="center" vertical="center"/>
    </xf>
    <xf numFmtId="301" fontId="5" fillId="104" borderId="8" xfId="1" applyFont="1" applyBorder="1" applyAlignment="1">
      <alignment horizontal="center" vertical="center" wrapText="1"/>
    </xf>
    <xf numFmtId="1" fontId="5" fillId="2" borderId="9" xfId="1" applyNumberFormat="1" applyFont="1" applyFill="1" applyBorder="1" applyAlignment="1">
      <alignment horizontal="center" vertical="center"/>
    </xf>
    <xf numFmtId="2" fontId="5" fillId="4" borderId="2" xfId="1" applyNumberFormat="1" applyFont="1" applyFill="1" applyBorder="1" applyAlignment="1">
      <alignment horizontal="center" vertical="center"/>
    </xf>
    <xf numFmtId="1" fontId="5" fillId="3" borderId="2" xfId="1" applyNumberFormat="1" applyFont="1" applyFill="1" applyBorder="1" applyAlignment="1">
      <alignment horizontal="center" vertical="center"/>
    </xf>
    <xf numFmtId="2" fontId="5" fillId="3" borderId="2" xfId="1" applyNumberFormat="1" applyFont="1" applyFill="1" applyBorder="1" applyAlignment="1">
      <alignment horizontal="center" vertical="center"/>
    </xf>
    <xf numFmtId="1" fontId="5" fillId="3" borderId="7" xfId="1" applyNumberFormat="1" applyFont="1" applyFill="1" applyBorder="1" applyAlignment="1">
      <alignment horizontal="center" vertical="center"/>
    </xf>
    <xf numFmtId="1" fontId="5" fillId="3" borderId="9" xfId="1" applyNumberFormat="1" applyFont="1" applyFill="1" applyBorder="1" applyAlignment="1">
      <alignment horizontal="center" vertical="center"/>
    </xf>
    <xf numFmtId="1" fontId="5" fillId="104" borderId="7" xfId="1" applyNumberFormat="1" applyFont="1" applyBorder="1" applyAlignment="1">
      <alignment horizontal="center" vertical="center"/>
    </xf>
    <xf numFmtId="301" fontId="6" fillId="0" borderId="2" xfId="0" applyFont="1" applyBorder="1" applyAlignment="1">
      <alignment wrapText="1"/>
    </xf>
    <xf numFmtId="301" fontId="5" fillId="104" borderId="9" xfId="1" applyFont="1" applyBorder="1" applyAlignment="1">
      <alignment horizontal="center" vertical="center" wrapText="1"/>
    </xf>
    <xf numFmtId="1" fontId="5" fillId="104" borderId="9" xfId="1" applyNumberFormat="1" applyFont="1" applyBorder="1" applyAlignment="1">
      <alignment horizontal="center" vertical="center"/>
    </xf>
    <xf numFmtId="301" fontId="3" fillId="0" borderId="22" xfId="0" applyFont="1" applyAlignment="1">
      <alignment horizontal="center" vertical="center"/>
    </xf>
    <xf numFmtId="301" fontId="7" fillId="0" borderId="22" xfId="0" applyFont="1"/>
    <xf numFmtId="301" fontId="4" fillId="0" borderId="22" xfId="0" applyFont="1" applyAlignment="1">
      <alignment horizontal="center" vertical="center"/>
    </xf>
    <xf numFmtId="301" fontId="5" fillId="0" borderId="22" xfId="0" applyFont="1" applyAlignment="1">
      <alignment horizontal="center" vertical="center"/>
    </xf>
    <xf numFmtId="301" fontId="5" fillId="0" borderId="10" xfId="0" applyFont="1" applyBorder="1" applyAlignment="1">
      <alignment horizontal="center" vertical="center"/>
    </xf>
    <xf numFmtId="301" fontId="5" fillId="0" borderId="11" xfId="0" applyFont="1" applyBorder="1" applyAlignment="1">
      <alignment horizontal="center" vertical="center"/>
    </xf>
    <xf numFmtId="301" fontId="5" fillId="0" borderId="12" xfId="0" applyFont="1" applyBorder="1" applyAlignment="1">
      <alignment horizontal="center" vertical="center"/>
    </xf>
    <xf numFmtId="301" fontId="5" fillId="5" borderId="12" xfId="0" applyFont="1" applyFill="1" applyBorder="1" applyAlignment="1">
      <alignment horizontal="center" vertical="center"/>
    </xf>
    <xf numFmtId="301" fontId="5" fillId="6" borderId="12" xfId="0" applyFont="1" applyFill="1" applyBorder="1" applyAlignment="1">
      <alignment horizontal="center" vertical="center"/>
    </xf>
    <xf numFmtId="301" fontId="5" fillId="7" borderId="12" xfId="0" applyFont="1" applyFill="1" applyBorder="1" applyAlignment="1">
      <alignment horizontal="center" vertical="center"/>
    </xf>
    <xf numFmtId="301" fontId="5" fillId="0" borderId="11" xfId="0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300" fontId="5" fillId="5" borderId="11" xfId="0" applyNumberFormat="1" applyFont="1" applyFill="1" applyBorder="1" applyAlignment="1">
      <alignment horizontal="center" vertical="center"/>
    </xf>
    <xf numFmtId="301" fontId="7" fillId="5" borderId="22" xfId="0" applyFont="1" applyFill="1"/>
    <xf numFmtId="301" fontId="7" fillId="6" borderId="22" xfId="0" applyFont="1" applyFill="1" applyAlignment="1">
      <alignment horizontal="center"/>
    </xf>
    <xf numFmtId="301" fontId="7" fillId="7" borderId="22" xfId="0" applyFont="1" applyFill="1"/>
    <xf numFmtId="301" fontId="7" fillId="8" borderId="22" xfId="0" applyFont="1" applyFill="1"/>
    <xf numFmtId="300" fontId="5" fillId="9" borderId="11" xfId="0" applyNumberFormat="1" applyFont="1" applyFill="1" applyBorder="1" applyAlignment="1">
      <alignment horizontal="center" vertical="center"/>
    </xf>
    <xf numFmtId="300" fontId="5" fillId="9" borderId="1" xfId="0" applyNumberFormat="1" applyFont="1" applyFill="1" applyBorder="1" applyAlignment="1">
      <alignment horizontal="center" vertical="center"/>
    </xf>
    <xf numFmtId="10" fontId="7" fillId="0" borderId="22" xfId="0" applyNumberFormat="1" applyFont="1" applyAlignment="1">
      <alignment horizontal="center"/>
    </xf>
    <xf numFmtId="10" fontId="7" fillId="5" borderId="22" xfId="0" applyNumberFormat="1" applyFont="1" applyFill="1" applyAlignment="1">
      <alignment horizontal="center"/>
    </xf>
    <xf numFmtId="301" fontId="6" fillId="5" borderId="22" xfId="0" applyFont="1" applyFill="1" applyAlignment="1">
      <alignment horizontal="center"/>
    </xf>
    <xf numFmtId="10" fontId="7" fillId="7" borderId="22" xfId="0" applyNumberFormat="1" applyFont="1" applyFill="1" applyAlignment="1">
      <alignment horizontal="center"/>
    </xf>
    <xf numFmtId="1" fontId="5" fillId="10" borderId="11" xfId="0" applyNumberFormat="1" applyFont="1" applyFill="1" applyBorder="1" applyAlignment="1">
      <alignment horizontal="center" vertical="center"/>
    </xf>
    <xf numFmtId="300" fontId="5" fillId="0" borderId="11" xfId="0" applyNumberFormat="1" applyFont="1" applyBorder="1" applyAlignment="1">
      <alignment horizontal="center" vertical="center"/>
    </xf>
    <xf numFmtId="301" fontId="5" fillId="104" borderId="14" xfId="1" applyFont="1" applyBorder="1" applyAlignment="1">
      <alignment horizontal="center" vertical="center"/>
    </xf>
    <xf numFmtId="300" fontId="5" fillId="104" borderId="2" xfId="1" applyNumberFormat="1" applyFont="1" applyBorder="1" applyAlignment="1">
      <alignment horizontal="center" vertical="center"/>
    </xf>
    <xf numFmtId="301" fontId="5" fillId="104" borderId="14" xfId="1" applyFont="1" applyBorder="1" applyAlignment="1">
      <alignment horizontal="center" vertical="center" wrapText="1"/>
    </xf>
    <xf numFmtId="301" fontId="6" fillId="0" borderId="15" xfId="0" applyFont="1" applyBorder="1" applyAlignment="1">
      <alignment horizontal="left" vertical="center" wrapText="1"/>
    </xf>
    <xf numFmtId="301" fontId="4" fillId="104" borderId="22" xfId="1" applyFont="1" applyAlignment="1">
      <alignment horizontal="left" vertical="center" wrapText="1"/>
    </xf>
    <xf numFmtId="301" fontId="5" fillId="104" borderId="16" xfId="1" applyFont="1" applyBorder="1" applyAlignment="1">
      <alignment horizontal="center" vertical="center" wrapText="1"/>
    </xf>
    <xf numFmtId="301" fontId="5" fillId="3" borderId="2" xfId="1" applyFont="1" applyFill="1" applyBorder="1" applyAlignment="1">
      <alignment horizontal="center" vertical="center" wrapText="1"/>
    </xf>
    <xf numFmtId="2" fontId="5" fillId="104" borderId="16" xfId="1" applyNumberFormat="1" applyFont="1" applyBorder="1" applyAlignment="1">
      <alignment horizontal="center" vertical="center"/>
    </xf>
    <xf numFmtId="301" fontId="5" fillId="3" borderId="14" xfId="1" applyFont="1" applyFill="1" applyBorder="1" applyAlignment="1">
      <alignment horizontal="center" vertical="center" wrapText="1"/>
    </xf>
    <xf numFmtId="2" fontId="5" fillId="11" borderId="2" xfId="1" applyNumberFormat="1" applyFont="1" applyFill="1" applyBorder="1" applyAlignment="1">
      <alignment horizontal="center" vertical="center"/>
    </xf>
    <xf numFmtId="300" fontId="5" fillId="104" borderId="22" xfId="1" applyNumberFormat="1" applyFont="1" applyAlignment="1">
      <alignment horizontal="center" vertical="center"/>
    </xf>
    <xf numFmtId="301" fontId="5" fillId="2" borderId="2" xfId="1" applyFont="1" applyFill="1" applyBorder="1" applyAlignment="1">
      <alignment horizontal="center" vertical="center"/>
    </xf>
    <xf numFmtId="1" fontId="5" fillId="12" borderId="2" xfId="1" applyNumberFormat="1" applyFont="1" applyFill="1" applyBorder="1" applyAlignment="1">
      <alignment horizontal="center" vertical="center"/>
    </xf>
    <xf numFmtId="1" fontId="5" fillId="13" borderId="2" xfId="1" applyNumberFormat="1" applyFont="1" applyFill="1" applyBorder="1" applyAlignment="1">
      <alignment horizontal="center" vertical="center"/>
    </xf>
    <xf numFmtId="2" fontId="5" fillId="13" borderId="2" xfId="1" applyNumberFormat="1" applyFont="1" applyFill="1" applyBorder="1" applyAlignment="1">
      <alignment horizontal="center" vertical="center"/>
    </xf>
    <xf numFmtId="300" fontId="5" fillId="13" borderId="2" xfId="1" applyNumberFormat="1" applyFont="1" applyFill="1" applyBorder="1" applyAlignment="1">
      <alignment horizontal="center" vertical="center"/>
    </xf>
    <xf numFmtId="1" fontId="5" fillId="14" borderId="2" xfId="1" applyNumberFormat="1" applyFont="1" applyFill="1" applyBorder="1" applyAlignment="1">
      <alignment horizontal="center" vertical="center"/>
    </xf>
    <xf numFmtId="301" fontId="8" fillId="0" borderId="22" xfId="0" applyFont="1"/>
    <xf numFmtId="301" fontId="5" fillId="104" borderId="22" xfId="1" applyFont="1" applyAlignment="1">
      <alignment horizontal="center" vertical="center" wrapText="1"/>
    </xf>
    <xf numFmtId="1" fontId="5" fillId="4" borderId="22" xfId="1" applyNumberFormat="1" applyFont="1" applyFill="1" applyAlignment="1">
      <alignment horizontal="center" vertical="center"/>
    </xf>
    <xf numFmtId="2" fontId="5" fillId="104" borderId="22" xfId="1" applyNumberFormat="1" applyFont="1" applyAlignment="1">
      <alignment horizontal="center" vertical="center"/>
    </xf>
    <xf numFmtId="2" fontId="5" fillId="104" borderId="17" xfId="1" applyNumberFormat="1" applyFont="1" applyBorder="1" applyAlignment="1">
      <alignment horizontal="center" vertical="center"/>
    </xf>
    <xf numFmtId="2" fontId="5" fillId="104" borderId="18" xfId="1" applyNumberFormat="1" applyFont="1" applyBorder="1" applyAlignment="1">
      <alignment horizontal="center" vertical="center"/>
    </xf>
    <xf numFmtId="2" fontId="5" fillId="104" borderId="19" xfId="1" applyNumberFormat="1" applyFont="1" applyBorder="1" applyAlignment="1">
      <alignment horizontal="center" vertical="center"/>
    </xf>
    <xf numFmtId="2" fontId="5" fillId="104" borderId="9" xfId="1" applyNumberFormat="1" applyFont="1" applyBorder="1" applyAlignment="1">
      <alignment horizontal="center" vertical="center"/>
    </xf>
    <xf numFmtId="2" fontId="5" fillId="104" borderId="6" xfId="1" applyNumberFormat="1" applyFont="1" applyBorder="1" applyAlignment="1">
      <alignment horizontal="center" vertical="center"/>
    </xf>
    <xf numFmtId="2" fontId="5" fillId="104" borderId="14" xfId="1" applyNumberFormat="1" applyFont="1" applyBorder="1" applyAlignment="1">
      <alignment horizontal="center" vertical="center"/>
    </xf>
    <xf numFmtId="2" fontId="5" fillId="104" borderId="2" xfId="1" applyNumberFormat="1" applyFont="1" applyBorder="1" applyAlignment="1">
      <alignment horizontal="center" vertical="center" wrapText="1"/>
    </xf>
    <xf numFmtId="2" fontId="5" fillId="104" borderId="22" xfId="1" applyNumberFormat="1" applyFont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>
      <alignment horizontal="center" vertical="center"/>
    </xf>
    <xf numFmtId="301" fontId="4" fillId="104" borderId="20" xfId="1" applyFont="1" applyBorder="1" applyAlignment="1">
      <alignment horizontal="left" vertical="center" wrapText="1"/>
    </xf>
    <xf numFmtId="301" fontId="9" fillId="15" borderId="21" xfId="0" applyFont="1" applyFill="1" applyBorder="1" applyAlignment="1">
      <alignment vertical="center" wrapText="1"/>
    </xf>
    <xf numFmtId="301" fontId="6" fillId="0" borderId="22" xfId="0" applyFont="1" applyAlignment="1">
      <alignment horizontal="center" vertical="center"/>
    </xf>
    <xf numFmtId="301" fontId="9" fillId="4" borderId="21" xfId="0" applyFont="1" applyFill="1" applyBorder="1" applyAlignment="1">
      <alignment vertical="center" wrapText="1"/>
    </xf>
    <xf numFmtId="301" fontId="10" fillId="4" borderId="21" xfId="0" applyFont="1" applyFill="1" applyBorder="1" applyAlignment="1">
      <alignment vertical="center" wrapText="1"/>
    </xf>
    <xf numFmtId="301" fontId="7" fillId="0" borderId="22" xfId="0" applyAlignment="1">
      <alignment horizontal="center" vertical="center"/>
    </xf>
    <xf numFmtId="301" fontId="7" fillId="0" borderId="22" xfId="0" applyAlignment="1">
      <alignment vertical="center"/>
    </xf>
    <xf fontId="11" fillId="16" borderId="0" xfId="0"/>
    <xf fontId="11" fillId="17" borderId="0" xfId="0"/>
    <xf fontId="11" fillId="18" borderId="0" xfId="0"/>
    <xf fontId="11" fillId="19" borderId="0" xfId="0"/>
    <xf fontId="11" fillId="20" borderId="0" xfId="0"/>
    <xf fontId="11" fillId="21" borderId="0" xfId="0"/>
    <xf fontId="11" fillId="22" borderId="0" xfId="0"/>
    <xf fontId="11" fillId="23" borderId="0" xfId="0"/>
    <xf fontId="11" fillId="24" borderId="0" xfId="0"/>
    <xf fontId="11" fillId="25" borderId="0" xfId="0"/>
    <xf fontId="11" fillId="26" borderId="0" xfId="0"/>
    <xf fontId="11" fillId="27" borderId="0" xfId="0"/>
    <xf fontId="11" fillId="28" borderId="0" xfId="0"/>
    <xf fontId="11" fillId="29" borderId="0" xfId="0"/>
    <xf fontId="11" fillId="30" borderId="0" xfId="0"/>
    <xf fontId="11" fillId="31" borderId="0" xfId="0"/>
    <xf fontId="11" fillId="32" borderId="0" xfId="0"/>
    <xf fontId="11" fillId="33" borderId="0" xfId="0"/>
    <xf fontId="11" fillId="34" borderId="0" xfId="0"/>
    <xf fontId="11" fillId="35" borderId="0" xfId="0"/>
    <xf fontId="11" fillId="36" borderId="0" xfId="0"/>
    <xf fontId="11" fillId="37" borderId="0" xfId="0"/>
    <xf fontId="11" fillId="38" borderId="0" xfId="0"/>
    <xf fontId="11" fillId="39" borderId="0" xfId="0"/>
    <xf fontId="11" fillId="40" borderId="0" xfId="0"/>
    <xf fontId="11" fillId="41" borderId="0" xfId="0"/>
    <xf fontId="11" fillId="42" borderId="0" xfId="0"/>
    <xf fontId="11" fillId="43" borderId="0" xfId="0"/>
    <xf fontId="11" fillId="44" borderId="0" xfId="0"/>
    <xf fontId="11" fillId="45" borderId="0" xfId="0"/>
    <xf fontId="11" fillId="46" borderId="0" xfId="0"/>
    <xf fontId="11" fillId="47" borderId="0" xfId="0"/>
    <xf fontId="11" fillId="48" borderId="0" xfId="0"/>
    <xf fontId="11" fillId="49" borderId="0" xfId="0"/>
    <xf fontId="11" fillId="50" borderId="0" xfId="0"/>
    <xf fontId="11" fillId="51" borderId="0" xfId="0"/>
    <xf fontId="11" fillId="52" borderId="0" xfId="0"/>
    <xf fontId="11" fillId="53" borderId="0" xfId="0"/>
    <xf fontId="11" fillId="54" borderId="0" xfId="0"/>
    <xf fontId="11" fillId="55" borderId="0" xfId="0"/>
    <xf fontId="11" fillId="56" borderId="0" xfId="0"/>
    <xf fontId="11" fillId="57" borderId="0" xfId="0"/>
    <xf fontId="11" fillId="58" borderId="0" xfId="0"/>
    <xf fontId="11" fillId="59" borderId="0" xfId="0"/>
    <xf fontId="11" fillId="60" borderId="0" xfId="0"/>
    <xf fontId="11" fillId="61" borderId="0" xfId="0"/>
    <xf fontId="11" fillId="62" borderId="0" xfId="0"/>
    <xf fontId="11" fillId="63" borderId="0" xfId="0"/>
    <xf fontId="11" fillId="64" borderId="0" xfId="0"/>
    <xf fontId="11" fillId="65" borderId="0" xfId="0"/>
    <xf fontId="11" fillId="66" borderId="0" xfId="0"/>
    <xf fontId="11" fillId="67" borderId="0" xfId="0"/>
    <xf fontId="11" fillId="68" borderId="0" xfId="0"/>
    <xf fontId="11" fillId="69" borderId="0" xfId="0"/>
    <xf fontId="11" fillId="70" borderId="0" xfId="0"/>
    <xf fontId="11" fillId="71" borderId="0" xfId="0"/>
    <xf fontId="11" fillId="72" borderId="0" xfId="0"/>
    <xf fontId="11" fillId="73" borderId="0" xfId="0"/>
    <xf fontId="11" fillId="74" borderId="0" xfId="0"/>
    <xf fontId="11" fillId="75" borderId="0" xfId="0"/>
    <xf fontId="11" fillId="76" borderId="0" xfId="0"/>
    <xf fontId="11" fillId="77" borderId="0" xfId="0"/>
    <xf fontId="11" fillId="78" borderId="0" xfId="0"/>
    <xf fontId="11" fillId="79" borderId="0" xfId="0"/>
    <xf fontId="11" fillId="80" borderId="0" xfId="0"/>
    <xf fontId="11" fillId="81" borderId="0" xfId="0"/>
    <xf fontId="11" fillId="82" borderId="0" xfId="0"/>
    <xf fontId="11" fillId="83" borderId="0" xfId="0"/>
    <xf fontId="11" fillId="84" borderId="0" xfId="0"/>
    <xf fontId="11" fillId="85" borderId="0" xfId="0"/>
    <xf fontId="11" fillId="86" borderId="0" xfId="0"/>
    <xf fontId="11" fillId="87" borderId="0" xfId="0"/>
    <xf fontId="11" fillId="88" borderId="0" xfId="0"/>
    <xf fontId="11" fillId="89" borderId="0" xfId="0"/>
    <xf fontId="11" fillId="90" borderId="0" xfId="0"/>
    <xf fontId="11" fillId="91" borderId="0" xfId="0"/>
    <xf fontId="11" fillId="92" borderId="0" xfId="0"/>
    <xf fontId="11" fillId="93" borderId="0" xfId="0"/>
    <xf fontId="11" fillId="94" borderId="0" xfId="0"/>
    <xf fontId="11" fillId="95" borderId="0" xfId="0"/>
    <xf fontId="11" fillId="96" borderId="0" xfId="0"/>
    <xf fontId="11" fillId="97" borderId="0" xfId="0"/>
    <xf fontId="11" fillId="98" borderId="0" xfId="0"/>
    <xf fontId="11" fillId="99" borderId="0" xfId="0"/>
    <xf fontId="11" fillId="100" borderId="0" xfId="0"/>
    <xf fontId="11" fillId="101" borderId="0" xfId="0"/>
    <xf fontId="11" fillId="102" borderId="0" xfId="0"/>
    <xf fontId="11" fillId="103" borderId="0" xfId="0"/>
    <xf numFmtId="301" fontId="7" fillId="104" borderId="16" xfId="0" applyNumberFormat="1" applyFill="1" applyBorder="1"/>
  </cellXfs>
  <cellStyles>
    <cellStyle name="常规" xfId="0" builtinId="0"/>
    <cellStyle name="Normal" xfId="1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pageSetUpPr fitToPage="1"/>
  </sheetPr>
  <dimension ref="P286"/>
  <sheetViews>
    <sheetView showGridLines="1" tabSelected="1" zoomScale="90" zoomScaleNormal="90" workbookViewId="0">
      <pane ySplit="3" topLeftCell="A4" activePane="bottomLeft" state="frozen"/>
    </sheetView>
  </sheetViews>
  <sheetFormatPr defaultColWidth="9" defaultRowHeight="13.5"/>
  <cols>
    <col min="1" max="1" width="24" customWidth="1"/>
    <col min="2" max="2" width="10" customWidth="1"/>
    <col min="3" max="3" width="23.125" customWidth="1"/>
    <col min="4" max="4" width="18" customWidth="1"/>
    <col min="5" max="6" width="22" hidden="1" customWidth="1"/>
    <col min="7" max="7" width="17.375" hidden="1" customWidth="1"/>
    <col min="8" max="8" width="17.375" style="195" customWidth="1"/>
    <col min="9" max="9" width="24" customWidth="1"/>
    <col min="10" max="10" width="28.625" customWidth="1"/>
    <col min="11" max="11" width="23.375" customWidth="1"/>
    <col min="12" max="12" width="18" customWidth="1"/>
    <col min="13" max="13" width="22" hidden="1" customWidth="1"/>
    <col min="14" max="14" width="20.875" hidden="1" customWidth="1"/>
    <col min="15" max="15" width="17.625" hidden="1" customWidth="1"/>
    <col min="16" max="16" width="36.25" hidden="1" customWidth="1"/>
  </cols>
  <sheetData>
    <row r="1" spans="1:13" ht="22.9" customHeight="1">
      <c r="A1" s="4" t="s">
        <v>66</v>
      </c>
      <c r="B1" s="4" t="s"/>
      <c r="C1" s="4" t="s"/>
      <c r="D1" s="4" t="s"/>
      <c r="E1" s="4" t="s"/>
      <c r="F1" s="4" t="s"/>
      <c r="I1" s="4" t="s">
        <v>67</v>
      </c>
      <c r="J1" s="4" t="s"/>
      <c r="K1" s="4" t="s"/>
      <c r="L1" s="4" t="s"/>
      <c r="M1" s="4" t="s"/>
    </row>
    <row r="2" spans="1:13" ht="22.9" customHeight="1">
      <c r="A2" s="5" t="s">
        <v>68</v>
      </c>
      <c r="B2" s="5" t="s"/>
      <c r="C2" s="5" t="s"/>
      <c r="D2" s="5" t="s"/>
      <c r="E2" s="5" t="s"/>
      <c r="F2" s="5" t="s"/>
      <c r="I2" s="5" t="s">
        <v>68</v>
      </c>
      <c r="J2" s="5" t="s"/>
      <c r="K2" s="5" t="s"/>
      <c r="L2" s="5" t="s"/>
      <c r="M2" s="5" t="s"/>
    </row>
    <row r="3" spans="1:13" ht="22.9" customHeight="1">
      <c r="A3" s="6" t="s">
        <v>3</v>
      </c>
      <c r="B3" s="6" t="s"/>
      <c r="C3" s="6" t="s">
        <v>69</v>
      </c>
      <c r="D3" s="6" t="s"/>
      <c r="E3" s="6" t="s"/>
      <c r="F3" s="6" t="s"/>
      <c r="I3" s="6" t="s">
        <v>3</v>
      </c>
      <c r="J3" s="6" t="s"/>
      <c r="K3" s="6" t="s">
        <v>69</v>
      </c>
      <c r="L3" s="6" t="s"/>
      <c r="M3" s="6" t="s"/>
    </row>
    <row r="4" spans="1:13" ht="22.9" customHeight="1">
      <c r="A4" s="6" t="s"/>
      <c r="B4" s="6" t="s"/>
      <c r="C4" s="6" t="s"/>
      <c r="D4" s="6" t="s"/>
      <c r="E4" s="6" t="s"/>
      <c r="F4" s="6" t="s"/>
      <c r="I4" s="6" t="s"/>
      <c r="J4" s="6" t="s"/>
      <c r="K4" s="6" t="s"/>
      <c r="L4" s="6" t="s"/>
      <c r="M4" s="6" t="s"/>
    </row>
    <row r="5" spans="1:13" ht="22.9" customHeight="1">
      <c r="A5" s="12" t="s">
        <v>70</v>
      </c>
      <c r="B5" s="12" t="s"/>
      <c r="C5" s="12" t="s"/>
      <c r="D5" s="12" t="s"/>
      <c r="E5" s="12" t="s"/>
      <c r="F5" s="6" t="s"/>
      <c r="I5" s="69" t="s">
        <v>71</v>
      </c>
      <c r="J5" s="12" t="s"/>
      <c r="K5" s="12" t="s"/>
      <c r="L5" s="12" t="s"/>
      <c r="M5" s="12" t="s"/>
    </row>
    <row r="6" spans="1:14" ht="27">
      <c r="A6" s="12" t="s">
        <v>6</v>
      </c>
      <c r="B6" s="12" t="s">
        <v>8</v>
      </c>
      <c r="C6" s="9" t="s">
        <v>72</v>
      </c>
      <c r="D6" s="12" t="s">
        <v>53</v>
      </c>
      <c r="E6" s="12" t="s">
        <v>73</v>
      </c>
      <c r="F6" s="9" t="s">
        <v>74</v>
      </c>
      <c r="G6" s="12" t="s">
        <v>73</v>
      </c>
      <c r="I6" s="69" t="s">
        <v>6</v>
      </c>
      <c r="J6" s="12" t="s">
        <v>8</v>
      </c>
      <c r="K6" s="9" t="s">
        <v>72</v>
      </c>
      <c r="L6" s="12" t="s">
        <v>75</v>
      </c>
      <c r="M6" s="12" t="s">
        <v>73</v>
      </c>
      <c r="N6" s="9" t="s">
        <v>74</v>
      </c>
    </row>
    <row r="7" spans="1:16" ht="22.9" customHeight="1">
      <c r="A7" s="9" t="s">
        <v>76</v>
      </c>
      <c r="B7" s="29">
        <v>1</v>
      </c>
      <c r="C7" s="30">
        <v>16</v>
      </c>
      <c r="D7" s="30">
        <v>17.07</v>
      </c>
      <c r="E7" s="70">
        <f>=IF(AND(ISNUMBER(C7),ISNUMBER(D7),C7&gt;0),(C7-D7)/C7,"")</f>
        <v>-0.066875</v>
      </c>
      <c r="F7" s="30">
        <v>17</v>
      </c>
      <c r="G7" s="70" t="str">
        <f>=IF(AND(ISNUMBER(E7),ISNUMBER(F7),E7&gt;0),(E7-F7)/E7,"")</f>
        <v/>
      </c>
      <c r="I7" s="71" t="s">
        <v>77</v>
      </c>
      <c r="J7" s="29">
        <v>1</v>
      </c>
      <c r="K7" s="30">
        <v>12</v>
      </c>
      <c r="L7" s="30">
        <v>12.94</v>
      </c>
      <c r="M7" s="70">
        <f>=IF(AND(ISNUMBER(K7),ISNUMBER(L7),K7&gt;0),(K7-L7)/K7,"")</f>
        <v>-0.0783333333333333</v>
      </c>
      <c r="N7" s="30">
        <v>12</v>
      </c>
      <c r="P7" s="72" t="s">
        <v>78</v>
      </c>
    </row>
    <row r="8" spans="1:16" ht="22.9" customHeight="1">
      <c r="A8" s="9" t="s"/>
      <c r="B8" s="29">
        <v>2</v>
      </c>
      <c r="C8" s="30">
        <v>16</v>
      </c>
      <c r="D8" s="30">
        <v>17.21</v>
      </c>
      <c r="E8" s="70">
        <f>=IF(AND(ISNUMBER(C8),ISNUMBER(D8),C8&gt;0),(C8-D8)/C8,"")</f>
        <v>-0.0756250000000001</v>
      </c>
      <c r="F8" s="30">
        <v>18</v>
      </c>
      <c r="G8" s="70" t="str">
        <f>=IF(AND(ISNUMBER(E8),ISNUMBER(F8),E8&gt;0),(E8-F8)/E8,"")</f>
        <v/>
      </c>
      <c r="I8" s="71" t="s"/>
      <c r="J8" s="29">
        <v>2</v>
      </c>
      <c r="K8" s="30">
        <v>12</v>
      </c>
      <c r="L8" s="30">
        <v>13.27</v>
      </c>
      <c r="M8" s="70">
        <f>=IF(AND(ISNUMBER(K8),ISNUMBER(L8),K8&gt;0),(K8-L8)/K8,"")</f>
        <v>-0.105833333333333</v>
      </c>
      <c r="N8" s="30">
        <v>13</v>
      </c>
      <c r="P8" s="72" t="s"/>
    </row>
    <row r="9" spans="1:16" ht="22.9" customHeight="1">
      <c r="A9" s="9" t="s"/>
      <c r="B9" s="29">
        <v>4</v>
      </c>
      <c r="C9" s="30">
        <v>16</v>
      </c>
      <c r="D9" s="30">
        <v>17.96</v>
      </c>
      <c r="E9" s="70">
        <f>=IF(AND(ISNUMBER(C9),ISNUMBER(D9),C9&gt;0),(C9-D9)/C9,"")</f>
        <v>-0.1225</v>
      </c>
      <c r="F9" s="30">
        <v>17</v>
      </c>
      <c r="G9" s="70" t="str">
        <f>=IF(AND(ISNUMBER(E9),ISNUMBER(F9),E9&gt;0),(E9-F9)/E9,"")</f>
        <v/>
      </c>
      <c r="I9" s="71" t="s"/>
      <c r="J9" s="29">
        <v>4</v>
      </c>
      <c r="K9" s="30">
        <v>12</v>
      </c>
      <c r="L9" s="30">
        <v>13.87</v>
      </c>
      <c r="M9" s="70">
        <f>=IF(AND(ISNUMBER(K9),ISNUMBER(L9),K9&gt;0),(K9-L9)/K9,"")</f>
        <v>-0.155833333333333</v>
      </c>
      <c r="N9" s="30">
        <v>14</v>
      </c>
      <c r="P9" s="72" t="s"/>
    </row>
    <row r="10" spans="1:16" ht="22.9" customHeight="1">
      <c r="A10" s="9" t="s"/>
      <c r="B10" s="29">
        <v>8</v>
      </c>
      <c r="C10" s="30">
        <v>16</v>
      </c>
      <c r="D10" s="30">
        <v>18.15</v>
      </c>
      <c r="E10" s="70">
        <f>=IF(AND(ISNUMBER(C10),ISNUMBER(D10),C10&gt;0),(C10-D10)/C10,"")</f>
        <v>-0.134375</v>
      </c>
      <c r="F10" s="30">
        <v>17</v>
      </c>
      <c r="G10" s="70" t="str">
        <f>=IF(AND(ISNUMBER(E10),ISNUMBER(F10),E10&gt;0),(E10-F10)/E10,"")</f>
        <v/>
      </c>
      <c r="I10" s="71" t="s"/>
      <c r="J10" s="29">
        <v>8</v>
      </c>
      <c r="K10" s="30">
        <v>14</v>
      </c>
      <c r="L10" s="30">
        <v>15.08</v>
      </c>
      <c r="M10" s="70">
        <f>=IF(AND(ISNUMBER(K10),ISNUMBER(L10),K10&gt;0),(K10-L10)/K10,"")</f>
        <v>-0.0771428571428572</v>
      </c>
      <c r="N10" s="30">
        <v>15</v>
      </c>
      <c r="P10" s="72" t="s"/>
    </row>
    <row r="11" spans="1:14" ht="22.9" customHeight="1">
      <c r="A11" s="9" t="s"/>
      <c r="B11" s="29">
        <v>16</v>
      </c>
      <c r="C11" s="30">
        <v>17</v>
      </c>
      <c r="D11" s="30">
        <v>17.93</v>
      </c>
      <c r="E11" s="70">
        <f>=IF(AND(ISNUMBER(C11),ISNUMBER(D11),C11&gt;0),(C11-D11)/C11,"")</f>
        <v>-0.0547058823529412</v>
      </c>
      <c r="F11" s="30">
        <v>18</v>
      </c>
      <c r="G11" s="70" t="str">
        <f>=IF(AND(ISNUMBER(E11),ISNUMBER(F11),E11&gt;0),(E11-F11)/E11,"")</f>
        <v/>
      </c>
      <c r="I11" s="71" t="s"/>
      <c r="J11" s="29">
        <v>16</v>
      </c>
      <c r="K11" s="30">
        <v>17</v>
      </c>
      <c r="L11" s="30">
        <v>18.29</v>
      </c>
      <c r="M11" s="70">
        <f>=IF(AND(ISNUMBER(K11),ISNUMBER(L11),K11&gt;0),(K11-L11)/K11,"")</f>
        <v>-0.0758823529411764</v>
      </c>
      <c r="N11" s="30">
        <v>18</v>
      </c>
    </row>
    <row r="12" spans="1:14" ht="22.9" customHeight="1">
      <c r="A12" s="9" t="s"/>
      <c r="B12" s="29">
        <v>32</v>
      </c>
      <c r="C12" s="30">
        <v>20</v>
      </c>
      <c r="D12" s="30">
        <v>18.94</v>
      </c>
      <c r="E12" s="70">
        <f>=IF(AND(ISNUMBER(C12),ISNUMBER(D12),C12&gt;0),(C12-D12)/C12,"")</f>
        <v>0.0529999999999999</v>
      </c>
      <c r="F12" s="30">
        <v>20</v>
      </c>
      <c r="G12" s="70">
        <f>=IF(AND(ISNUMBER(E12),ISNUMBER(F12),E12&gt;0),(E12-F12)/E12,"")</f>
        <v>-376.358490566038</v>
      </c>
      <c r="I12" s="71" t="s"/>
      <c r="J12" s="29">
        <v>32</v>
      </c>
      <c r="K12" s="30">
        <v>23</v>
      </c>
      <c r="L12" s="30">
        <v>25</v>
      </c>
      <c r="M12" s="70">
        <f>=IF(AND(ISNUMBER(K12),ISNUMBER(L12),K12&gt;0),(K12-L12)/K12,"")</f>
        <v>-0.0869565217391305</v>
      </c>
      <c r="N12" s="30">
        <v>23</v>
      </c>
    </row>
    <row r="13" spans="1:14" ht="22.9" customHeight="1">
      <c r="A13" s="9" t="s"/>
      <c r="B13" s="29">
        <v>48</v>
      </c>
      <c r="C13" s="30">
        <v>24</v>
      </c>
      <c r="D13" s="30">
        <v>25.73</v>
      </c>
      <c r="E13" s="70">
        <f>=IF(AND(ISNUMBER(C13),ISNUMBER(D13),C13&gt;0),(C13-D13)/C13,"")</f>
        <v>-0.0720833333333334</v>
      </c>
      <c r="F13" s="30">
        <v>23</v>
      </c>
      <c r="G13" s="70" t="str">
        <f>=IF(AND(ISNUMBER(E13),ISNUMBER(F13),E13&gt;0),(E13-F13)/E13,"")</f>
        <v/>
      </c>
      <c r="I13" s="71" t="s"/>
      <c r="J13" s="29">
        <v>48</v>
      </c>
      <c r="K13" s="30">
        <v>29</v>
      </c>
      <c r="L13" s="30">
        <v>32.05</v>
      </c>
      <c r="M13" s="70">
        <f>=IF(AND(ISNUMBER(K13),ISNUMBER(L13),K13&gt;0),(K13-L13)/K13,"")</f>
        <v>-0.105172413793103</v>
      </c>
      <c r="N13" s="30">
        <v>29</v>
      </c>
    </row>
    <row r="14" spans="1:14" ht="22.9" customHeight="1">
      <c r="A14" s="9" t="s"/>
      <c r="B14" s="29">
        <v>64</v>
      </c>
      <c r="C14" s="30">
        <v>27</v>
      </c>
      <c r="D14" s="30">
        <v>27.76</v>
      </c>
      <c r="E14" s="70">
        <f>=IF(AND(ISNUMBER(C14),ISNUMBER(D14),C14&gt;0),(C14-D14)/C14,"")</f>
        <v>-0.0281481481481482</v>
      </c>
      <c r="F14" s="30">
        <v>27</v>
      </c>
      <c r="G14" s="70" t="str">
        <f>=IF(AND(ISNUMBER(E14),ISNUMBER(F14),E14&gt;0),(E14-F14)/E14,"")</f>
        <v/>
      </c>
      <c r="I14" s="71" t="s"/>
      <c r="J14" s="29">
        <v>64</v>
      </c>
      <c r="K14" s="30">
        <v>35</v>
      </c>
      <c r="L14" s="30">
        <v>36.38</v>
      </c>
      <c r="M14" s="70">
        <f>=IF(AND(ISNUMBER(K14),ISNUMBER(L14),K14&gt;0),(K14-L14)/K14,"")</f>
        <v>-0.0394285714285715</v>
      </c>
      <c r="N14" s="30">
        <v>35</v>
      </c>
    </row>
    <row r="15" spans="1:14" ht="22.9" customHeight="1">
      <c r="A15" s="9" t="s"/>
      <c r="B15" s="29">
        <v>96</v>
      </c>
      <c r="C15" s="30">
        <v>36</v>
      </c>
      <c r="D15" s="30">
        <v>32.7</v>
      </c>
      <c r="E15" s="70">
        <f>=IF(AND(ISNUMBER(C15),ISNUMBER(D15),C15&gt;0),(C15-D15)/C15,"")</f>
        <v>0.0916666666666666</v>
      </c>
      <c r="F15" s="30">
        <v>37</v>
      </c>
      <c r="G15" s="70">
        <f>=IF(AND(ISNUMBER(E15),ISNUMBER(F15),E15&gt;0),(E15-F15)/E15,"")</f>
        <v>-402.636363636364</v>
      </c>
      <c r="I15" s="71" t="s"/>
      <c r="J15" s="29">
        <v>96</v>
      </c>
      <c r="K15" s="30">
        <v>52</v>
      </c>
      <c r="L15" s="30">
        <v>46.69</v>
      </c>
      <c r="M15" s="70">
        <f>=IF(AND(ISNUMBER(K15),ISNUMBER(L15),K15&gt;0),(K15-L15)/K15,"")</f>
        <v>0.102115384615385</v>
      </c>
      <c r="N15" s="30">
        <v>48</v>
      </c>
    </row>
    <row r="16" spans="1:14" ht="22.9" customHeight="1">
      <c r="A16" s="9" t="s"/>
      <c r="B16" s="29">
        <v>128</v>
      </c>
      <c r="C16" s="30">
        <v>43</v>
      </c>
      <c r="D16" s="30">
        <v>41.84</v>
      </c>
      <c r="E16" s="70">
        <f>=IF(AND(ISNUMBER(C16),ISNUMBER(D16),C16&gt;0),(C16-D16)/C16,"")</f>
        <v>0.0269767441860464</v>
      </c>
      <c r="F16" s="30">
        <v>48</v>
      </c>
      <c r="G16" s="70">
        <f>=IF(AND(ISNUMBER(E16),ISNUMBER(F16),E16&gt;0),(E16-F16)/E16,"")</f>
        <v>-1778.31034482759</v>
      </c>
      <c r="I16" s="71" t="s"/>
      <c r="J16" s="29">
        <v>128</v>
      </c>
      <c r="K16" s="30">
        <v>63</v>
      </c>
      <c r="L16" s="30">
        <v>59.85</v>
      </c>
      <c r="M16" s="70">
        <f>=IF(AND(ISNUMBER(K16),ISNUMBER(L16),K16&gt;0),(K16-L16)/K16,"")</f>
        <v>0.05</v>
      </c>
      <c r="N16" s="30">
        <v>58</v>
      </c>
    </row>
    <row r="17" spans="1:14" ht="22.9" customHeight="1">
      <c r="A17" s="9" t="s"/>
      <c r="B17" s="29">
        <v>192</v>
      </c>
      <c r="C17" s="30">
        <v>56</v>
      </c>
      <c r="D17" s="30">
        <v>59.89</v>
      </c>
      <c r="E17" s="70">
        <f>=IF(AND(ISNUMBER(C17),ISNUMBER(D17),C17&gt;0),(C17-D17)/C17,"")</f>
        <v>-0.0694642857142857</v>
      </c>
      <c r="F17" s="30">
        <v>57</v>
      </c>
      <c r="G17" s="70" t="str">
        <f>=IF(AND(ISNUMBER(E17),ISNUMBER(F17),E17&gt;0),(E17-F17)/E17,"")</f>
        <v/>
      </c>
      <c r="I17" s="71" t="s"/>
      <c r="J17" s="29">
        <v>192</v>
      </c>
      <c r="K17" s="30">
        <v>92</v>
      </c>
      <c r="L17" s="30">
        <v>82.13</v>
      </c>
      <c r="M17" s="70">
        <f>=IF(AND(ISNUMBER(K17),ISNUMBER(L17),K17&gt;0),(K17-L17)/K17,"")</f>
        <v>0.107282608695652</v>
      </c>
      <c r="N17" s="30">
        <v>81</v>
      </c>
    </row>
    <row r="18" spans="1:14" ht="22.9" customHeight="1">
      <c r="A18" s="9" t="s"/>
      <c r="B18" s="29">
        <v>256</v>
      </c>
      <c r="C18" s="30">
        <v>71</v>
      </c>
      <c r="D18" s="30">
        <v>72.96</v>
      </c>
      <c r="E18" s="70">
        <f>=IF(AND(ISNUMBER(C18),ISNUMBER(D18),C18&gt;0),(C18-D18)/C18,"")</f>
        <v>-0.0276056338028168</v>
      </c>
      <c r="F18" s="30">
        <v>75</v>
      </c>
      <c r="G18" s="70" t="str">
        <f>=IF(AND(ISNUMBER(E18),ISNUMBER(F18),E18&gt;0),(E18-F18)/E18,"")</f>
        <v/>
      </c>
      <c r="I18" s="71" t="s"/>
      <c r="J18" s="29">
        <v>256</v>
      </c>
      <c r="K18" s="30">
        <v>118</v>
      </c>
      <c r="L18" s="30">
        <v>101.13</v>
      </c>
      <c r="M18" s="70">
        <f>=IF(AND(ISNUMBER(K18),ISNUMBER(L18),K18&gt;0),(K18-L18)/K18,"")</f>
        <v>0.142966101694915</v>
      </c>
      <c r="N18" s="30">
        <v>106</v>
      </c>
    </row>
    <row r="19" spans="1:13" ht="31.9" customHeight="1">
      <c r="A19" s="73" t="s"/>
      <c r="B19" s="73" t="s"/>
      <c r="C19" s="73" t="s"/>
      <c r="D19" s="73" t="s"/>
      <c r="E19" s="73" t="s"/>
      <c r="F19" s="73" t="s"/>
      <c r="I19" s="73" t="s"/>
      <c r="J19" s="73" t="s"/>
      <c r="K19" s="73" t="s"/>
      <c r="L19" s="73" t="s"/>
      <c r="M19" s="73" t="s"/>
    </row>
    <row r="20" spans="1:13" ht="22.9" customHeight="1">
      <c r="A20" s="6" t="s"/>
      <c r="B20" s="6" t="s"/>
      <c r="C20" s="6" t="s"/>
      <c r="D20" s="6" t="s"/>
      <c r="E20" s="6" t="s"/>
      <c r="F20" s="6" t="s"/>
      <c r="I20" s="6" t="s"/>
      <c r="J20" s="6" t="s"/>
      <c r="K20" s="6" t="s"/>
      <c r="L20" s="6" t="s"/>
      <c r="M20" s="6" t="s"/>
    </row>
    <row r="21" spans="1:13" ht="22.9" customHeight="1">
      <c r="A21" s="6" t="s"/>
      <c r="B21" s="6" t="s"/>
      <c r="C21" s="6" t="s"/>
      <c r="D21" s="6" t="s"/>
      <c r="E21" s="6" t="s"/>
      <c r="F21" s="6" t="s"/>
      <c r="I21" s="6" t="s"/>
      <c r="J21" s="6" t="s"/>
      <c r="K21" s="6" t="s"/>
      <c r="L21" s="6" t="s"/>
      <c r="M21" s="6" t="s"/>
    </row>
    <row r="22" spans="1:13" ht="22.9" customHeight="1">
      <c r="A22" s="12" t="s">
        <v>79</v>
      </c>
      <c r="B22" s="12" t="s"/>
      <c r="C22" s="12" t="s"/>
      <c r="D22" s="12" t="s"/>
      <c r="E22" s="12" t="s"/>
      <c r="F22" s="6" t="s"/>
      <c r="I22" s="69" t="s">
        <v>80</v>
      </c>
      <c r="J22" s="12" t="s"/>
      <c r="K22" s="12" t="s"/>
      <c r="L22" s="12" t="s"/>
      <c r="M22" s="12" t="s"/>
    </row>
    <row r="23" spans="1:15" ht="27">
      <c r="A23" s="12" t="s">
        <v>6</v>
      </c>
      <c r="B23" s="12" t="s">
        <v>8</v>
      </c>
      <c r="C23" s="9" t="s">
        <v>72</v>
      </c>
      <c r="D23" s="9" t="s">
        <v>81</v>
      </c>
      <c r="E23" s="12" t="s">
        <v>73</v>
      </c>
      <c r="F23" s="9" t="s">
        <v>82</v>
      </c>
      <c r="G23" s="9" t="s">
        <v>74</v>
      </c>
      <c r="H23" s="74" t="s"/>
      <c r="I23" s="69" t="s">
        <v>6</v>
      </c>
      <c r="J23" s="12" t="s">
        <v>8</v>
      </c>
      <c r="K23" s="9" t="s">
        <v>72</v>
      </c>
      <c r="L23" s="9" t="s">
        <v>81</v>
      </c>
      <c r="M23" s="12" t="s">
        <v>73</v>
      </c>
      <c r="N23" s="9" t="s">
        <v>82</v>
      </c>
      <c r="O23" s="9" t="s">
        <v>74</v>
      </c>
    </row>
    <row r="24" spans="1:15" ht="22.9" customHeight="1">
      <c r="A24" s="75" t="s">
        <v>83</v>
      </c>
      <c r="B24" s="29">
        <v>1</v>
      </c>
      <c r="C24" s="30">
        <v>22</v>
      </c>
      <c r="D24" s="30">
        <v>19.54</v>
      </c>
      <c r="E24" s="70">
        <f>=IF(AND(ISNUMBER(C24),ISNUMBER(D24),C24&gt;0),(C24-D24)/C24,"")</f>
        <v>0.111818181818182</v>
      </c>
      <c r="F24" s="30" t="s">
        <v>84</v>
      </c>
      <c r="G24" s="30">
        <v>18</v>
      </c>
      <c r="H24" s="76" t="s"/>
      <c r="I24" s="77" t="s">
        <v>85</v>
      </c>
      <c r="J24" s="29">
        <v>1</v>
      </c>
      <c r="K24" s="30">
        <v>14</v>
      </c>
      <c r="L24" s="30">
        <v>15.68</v>
      </c>
      <c r="M24" s="70">
        <f>=IF(AND(ISNUMBER(K24),ISNUMBER(L24),K24&gt;0),(K24-L24)/K24,"")</f>
        <v>-0.12</v>
      </c>
      <c r="N24" s="30" t="s">
        <v>86</v>
      </c>
      <c r="O24" s="30">
        <v>12</v>
      </c>
    </row>
    <row r="25" spans="1:15" ht="22.9" customHeight="1">
      <c r="A25" s="75" t="s"/>
      <c r="B25" s="29">
        <v>2</v>
      </c>
      <c r="C25" s="30">
        <v>21</v>
      </c>
      <c r="D25" s="30">
        <v>19.74</v>
      </c>
      <c r="E25" s="70">
        <f>=IF(AND(ISNUMBER(C25),ISNUMBER(D25),C25&gt;0),(C25-D25)/C25,"")</f>
        <v>0.0600000000000001</v>
      </c>
      <c r="F25" s="30" t="s">
        <v>84</v>
      </c>
      <c r="G25" s="30">
        <v>18</v>
      </c>
      <c r="H25" s="76" t="s"/>
      <c r="I25" s="77" t="s"/>
      <c r="J25" s="29">
        <v>2</v>
      </c>
      <c r="K25" s="30">
        <v>15</v>
      </c>
      <c r="L25" s="30">
        <v>16.33</v>
      </c>
      <c r="M25" s="70">
        <f>=IF(AND(ISNUMBER(K25),ISNUMBER(L25),K25&gt;0),(K25-L25)/K25,"")</f>
        <v>-0.0886666666666666</v>
      </c>
      <c r="N25" s="30" t="s">
        <v>87</v>
      </c>
      <c r="O25" s="30">
        <v>13</v>
      </c>
    </row>
    <row r="26" spans="1:15" ht="22.9" customHeight="1">
      <c r="A26" s="75" t="s"/>
      <c r="B26" s="29">
        <v>4</v>
      </c>
      <c r="C26" s="30">
        <v>21</v>
      </c>
      <c r="D26" s="30">
        <v>20.03</v>
      </c>
      <c r="E26" s="70">
        <f>=IF(AND(ISNUMBER(C26),ISNUMBER(D26),C26&gt;0),(C26-D26)/C26,"")</f>
        <v>0.0461904761904761</v>
      </c>
      <c r="F26" s="30">
        <v>21</v>
      </c>
      <c r="G26" s="30">
        <v>18</v>
      </c>
      <c r="H26" s="76" t="s"/>
      <c r="I26" s="77" t="s"/>
      <c r="J26" s="29">
        <v>4</v>
      </c>
      <c r="K26" s="30">
        <v>16</v>
      </c>
      <c r="L26" s="30">
        <v>17.04</v>
      </c>
      <c r="M26" s="70">
        <f>=IF(AND(ISNUMBER(K26),ISNUMBER(L26),K26&gt;0),(K26-L26)/K26,"")</f>
        <v>-0.065</v>
      </c>
      <c r="N26" s="30">
        <v>16</v>
      </c>
      <c r="O26" s="30">
        <v>14</v>
      </c>
    </row>
    <row r="27" spans="1:15" ht="22.9" customHeight="1">
      <c r="A27" s="75" t="s"/>
      <c r="B27" s="29">
        <v>8</v>
      </c>
      <c r="C27" s="30">
        <v>21</v>
      </c>
      <c r="D27" s="30">
        <v>20.8</v>
      </c>
      <c r="E27" s="70">
        <f>=IF(AND(ISNUMBER(C27),ISNUMBER(D27),C27&gt;0),(C27-D27)/C27,"")</f>
        <v>0.00952380952380949</v>
      </c>
      <c r="F27" s="30">
        <v>22</v>
      </c>
      <c r="G27" s="30">
        <v>18</v>
      </c>
      <c r="H27" s="76" t="s"/>
      <c r="I27" s="77" t="s"/>
      <c r="J27" s="29">
        <v>8</v>
      </c>
      <c r="K27" s="30">
        <v>18</v>
      </c>
      <c r="L27" s="30">
        <v>18.49</v>
      </c>
      <c r="M27" s="70">
        <f>=IF(AND(ISNUMBER(K27),ISNUMBER(L27),K27&gt;0),(K27-L27)/K27,"")</f>
        <v>-0.0272222222222221</v>
      </c>
      <c r="N27" s="30">
        <v>18</v>
      </c>
      <c r="O27" s="30">
        <v>15</v>
      </c>
    </row>
    <row r="28" spans="1:15" ht="22.9" customHeight="1">
      <c r="A28" s="75" t="s"/>
      <c r="B28" s="29">
        <v>16</v>
      </c>
      <c r="C28" s="30">
        <v>23</v>
      </c>
      <c r="D28" s="30">
        <v>21.03</v>
      </c>
      <c r="E28" s="70">
        <f>=IF(AND(ISNUMBER(C28),ISNUMBER(D28),C28&gt;0),(C28-D28)/C28,"")</f>
        <v>0.0856521739130435</v>
      </c>
      <c r="F28" s="30">
        <v>23</v>
      </c>
      <c r="G28" s="30">
        <v>19</v>
      </c>
      <c r="H28" s="76" t="s"/>
      <c r="I28" s="77" t="s"/>
      <c r="J28" s="29">
        <v>16</v>
      </c>
      <c r="K28" s="30">
        <v>22</v>
      </c>
      <c r="L28" s="30">
        <v>25.48</v>
      </c>
      <c r="M28" s="70">
        <f>=IF(AND(ISNUMBER(K28),ISNUMBER(L28),K28&gt;0),(K28-L28)/K28,"")</f>
        <v>-0.158181818181818</v>
      </c>
      <c r="N28" s="30">
        <v>22</v>
      </c>
      <c r="O28" s="30">
        <v>19</v>
      </c>
    </row>
    <row r="29" spans="1:15" ht="22.9" customHeight="1">
      <c r="A29" s="75" t="s"/>
      <c r="B29" s="29">
        <v>32</v>
      </c>
      <c r="C29" s="30">
        <v>27</v>
      </c>
      <c r="D29" s="30">
        <v>23.21</v>
      </c>
      <c r="E29" s="70">
        <f>=IF(AND(ISNUMBER(C29),ISNUMBER(D29),C29&gt;0),(C29-D29)/C29,"")</f>
        <v>0.14037037037037</v>
      </c>
      <c r="F29" s="30">
        <v>27</v>
      </c>
      <c r="G29" s="30">
        <v>20</v>
      </c>
      <c r="H29" s="76" t="s"/>
      <c r="I29" s="77" t="s"/>
      <c r="J29" s="29">
        <v>32</v>
      </c>
      <c r="K29" s="30">
        <v>32</v>
      </c>
      <c r="L29" s="30">
        <v>32.38</v>
      </c>
      <c r="M29" s="70">
        <f>=IF(AND(ISNUMBER(K29),ISNUMBER(L29),K29&gt;0),(K29-L29)/K29,"")</f>
        <v>-0.0118750000000001</v>
      </c>
      <c r="N29" s="30">
        <v>31</v>
      </c>
      <c r="O29" s="30">
        <v>25</v>
      </c>
    </row>
    <row r="30" spans="1:15" ht="22.9" customHeight="1">
      <c r="A30" s="75" t="s"/>
      <c r="B30" s="29">
        <v>48</v>
      </c>
      <c r="C30" s="30">
        <v>32</v>
      </c>
      <c r="D30" s="30">
        <v>28.44</v>
      </c>
      <c r="E30" s="70">
        <f>=IF(AND(ISNUMBER(C30),ISNUMBER(D30),C30&gt;0),(C30-D30)/C30,"")</f>
        <v>0.11125</v>
      </c>
      <c r="F30" s="30">
        <v>33</v>
      </c>
      <c r="G30" s="30">
        <v>26</v>
      </c>
      <c r="H30" s="76" t="s"/>
      <c r="I30" s="77" t="s"/>
      <c r="J30" s="29">
        <v>48</v>
      </c>
      <c r="K30" s="30">
        <v>41</v>
      </c>
      <c r="L30" s="30">
        <v>35.69</v>
      </c>
      <c r="M30" s="70">
        <f>=IF(AND(ISNUMBER(K30),ISNUMBER(L30),K30&gt;0),(K30-L30)/K30,"")</f>
        <v>0.129512195121951</v>
      </c>
      <c r="N30" s="30">
        <v>41</v>
      </c>
      <c r="O30" s="30">
        <v>33</v>
      </c>
    </row>
    <row r="31" spans="1:15" ht="22.9" customHeight="1">
      <c r="A31" s="75" t="s"/>
      <c r="B31" s="29">
        <v>64</v>
      </c>
      <c r="C31" s="30">
        <v>36</v>
      </c>
      <c r="D31" s="30">
        <v>31.03</v>
      </c>
      <c r="E31" s="70">
        <f>=IF(AND(ISNUMBER(C31),ISNUMBER(D31),C31&gt;0),(C31-D31)/C31,"")</f>
        <v>0.138055555555556</v>
      </c>
      <c r="F31" s="78">
        <v>39</v>
      </c>
      <c r="G31" s="30">
        <v>31</v>
      </c>
      <c r="H31" s="76" t="s"/>
      <c r="I31" s="77" t="s"/>
      <c r="J31" s="29">
        <v>64</v>
      </c>
      <c r="K31" s="30">
        <v>48</v>
      </c>
      <c r="L31" s="30">
        <v>43.2</v>
      </c>
      <c r="M31" s="70">
        <f>=IF(AND(ISNUMBER(K31),ISNUMBER(L31),K31&gt;0),(K31-L31)/K31,"")</f>
        <v>0.1</v>
      </c>
      <c r="N31" s="78">
        <v>50</v>
      </c>
      <c r="O31" s="30">
        <v>40</v>
      </c>
    </row>
    <row r="32" spans="1:15" ht="22.9" customHeight="1">
      <c r="A32" s="75" t="s"/>
      <c r="B32" s="29">
        <v>96</v>
      </c>
      <c r="C32" s="30">
        <v>45</v>
      </c>
      <c r="D32" s="30">
        <v>39.99</v>
      </c>
      <c r="E32" s="70">
        <f>=IF(AND(ISNUMBER(C32),ISNUMBER(D32),C32&gt;0),(C32-D32)/C32,"")</f>
        <v>0.111333333333333</v>
      </c>
      <c r="F32" s="78">
        <v>52</v>
      </c>
      <c r="G32" s="30">
        <v>42</v>
      </c>
      <c r="H32" s="76" t="s"/>
      <c r="I32" s="77" t="s"/>
      <c r="J32" s="29">
        <v>96</v>
      </c>
      <c r="K32" s="30">
        <v>68</v>
      </c>
      <c r="L32" s="30">
        <v>57.34</v>
      </c>
      <c r="M32" s="70">
        <f>=IF(AND(ISNUMBER(K32),ISNUMBER(L32),K32&gt;0),(K32-L32)/K32,"")</f>
        <v>0.156764705882353</v>
      </c>
      <c r="N32" s="78">
        <v>72</v>
      </c>
      <c r="O32" s="30">
        <v>55</v>
      </c>
    </row>
    <row r="33" spans="1:15" ht="22.9" customHeight="1">
      <c r="A33" s="75" t="s"/>
      <c r="B33" s="29">
        <v>128</v>
      </c>
      <c r="C33" s="30">
        <v>54</v>
      </c>
      <c r="D33" s="30">
        <v>47.84</v>
      </c>
      <c r="E33" s="70">
        <f>=IF(AND(ISNUMBER(C33),ISNUMBER(D33),C33&gt;0),(C33-D33)/C33,"")</f>
        <v>0.114074074074074</v>
      </c>
      <c r="F33" s="78">
        <v>58</v>
      </c>
      <c r="G33" s="30">
        <v>50</v>
      </c>
      <c r="H33" s="76" t="s"/>
      <c r="I33" s="77" t="s"/>
      <c r="J33" s="29">
        <v>128</v>
      </c>
      <c r="K33" s="30">
        <v>84</v>
      </c>
      <c r="L33" s="30">
        <v>69.01</v>
      </c>
      <c r="M33" s="70">
        <f>=IF(AND(ISNUMBER(K33),ISNUMBER(L33),K33&gt;0),(K33-L33)/K33,"")</f>
        <v>0.178452380952381</v>
      </c>
      <c r="N33" s="78">
        <v>89</v>
      </c>
      <c r="O33" s="30">
        <v>67</v>
      </c>
    </row>
    <row r="34" spans="1:15" ht="22.9" customHeight="1">
      <c r="A34" s="75" t="s"/>
      <c r="B34" s="29">
        <v>192</v>
      </c>
      <c r="C34" s="30">
        <v>78</v>
      </c>
      <c r="D34" s="30">
        <v>63.38</v>
      </c>
      <c r="E34" s="70">
        <f>=IF(AND(ISNUMBER(C34),ISNUMBER(D34),C34&gt;0),(C34-D34)/C34,"")</f>
        <v>0.187435897435897</v>
      </c>
      <c r="F34" s="30">
        <v>80</v>
      </c>
      <c r="G34" s="30">
        <v>68</v>
      </c>
      <c r="H34" s="76" t="s"/>
      <c r="I34" s="77" t="s"/>
      <c r="J34" s="29">
        <v>192</v>
      </c>
      <c r="K34" s="30">
        <v>122</v>
      </c>
      <c r="L34" s="30">
        <v>90.84</v>
      </c>
      <c r="M34" s="70">
        <f>=IF(AND(ISNUMBER(K34),ISNUMBER(L34),K34&gt;0),(K34-L34)/K34,"")</f>
        <v>0.255409836065574</v>
      </c>
      <c r="N34" s="78">
        <v>130</v>
      </c>
      <c r="O34" s="30">
        <v>95</v>
      </c>
    </row>
    <row r="35" spans="1:15" ht="22.9" customHeight="1">
      <c r="A35" s="75" t="s"/>
      <c r="B35" s="29">
        <v>256</v>
      </c>
      <c r="C35" s="30">
        <v>96</v>
      </c>
      <c r="D35" s="30">
        <v>80.77</v>
      </c>
      <c r="E35" s="70">
        <f>=IF(AND(ISNUMBER(C35),ISNUMBER(D35),C35&gt;0),(C35-D35)/C35,"")</f>
        <v>0.158645833333333</v>
      </c>
      <c r="F35" s="30">
        <v>95</v>
      </c>
      <c r="G35" s="30">
        <v>85</v>
      </c>
      <c r="H35" s="76" t="s"/>
      <c r="I35" s="77" t="s"/>
      <c r="J35" s="29">
        <v>256</v>
      </c>
      <c r="K35" s="30">
        <v>162</v>
      </c>
      <c r="L35" s="30">
        <v>118.69</v>
      </c>
      <c r="M35" s="70">
        <f>=IF(AND(ISNUMBER(K35),ISNUMBER(L35),K35&gt;0),(K35-L35)/K35,"")</f>
        <v>0.267345679012346</v>
      </c>
      <c r="N35" s="78">
        <v>168</v>
      </c>
      <c r="O35" s="30">
        <v>123</v>
      </c>
    </row>
    <row r="36" spans="1:13" ht="31.9" customHeight="1">
      <c r="A36" s="73" t="s">
        <v>88</v>
      </c>
      <c r="B36" s="73" t="s"/>
      <c r="C36" s="73" t="s"/>
      <c r="D36" s="73" t="s"/>
      <c r="E36" s="73" t="s"/>
      <c r="F36" s="73" t="s"/>
      <c r="I36" s="73" t="s">
        <v>88</v>
      </c>
      <c r="J36" s="73" t="s"/>
      <c r="K36" s="73" t="s"/>
      <c r="L36" s="73" t="s"/>
      <c r="M36" s="73" t="s"/>
    </row>
    <row r="37" spans="1:13" ht="22.9" customHeight="1">
      <c r="A37" s="6" t="s"/>
      <c r="B37" s="6" t="s"/>
      <c r="C37" s="6" t="s"/>
      <c r="D37" s="6" t="s"/>
      <c r="E37" s="6" t="s"/>
      <c r="F37" s="6" t="s"/>
      <c r="I37" s="6" t="s"/>
      <c r="J37" s="6" t="s"/>
      <c r="K37" s="6" t="s"/>
      <c r="L37" s="6" t="s"/>
      <c r="M37" s="6" t="s"/>
    </row>
    <row r="38" spans="1:13" ht="22.9" customHeight="1">
      <c r="A38" s="6" t="s"/>
      <c r="B38" s="6" t="s"/>
      <c r="C38" s="6" t="s"/>
      <c r="D38" s="6" t="s"/>
      <c r="E38" s="6" t="s"/>
      <c r="F38" s="6" t="s"/>
      <c r="I38" s="6" t="s"/>
      <c r="J38" s="6" t="s"/>
      <c r="K38" s="6" t="s"/>
      <c r="L38" s="6" t="s"/>
      <c r="M38" s="6" t="s"/>
    </row>
    <row r="39" spans="1:13" ht="22.9" customHeight="1">
      <c r="A39" s="12" t="s">
        <v>89</v>
      </c>
      <c r="B39" s="12" t="s"/>
      <c r="C39" s="12" t="s"/>
      <c r="D39" s="12" t="s"/>
      <c r="E39" s="12" t="s"/>
      <c r="F39" s="6" t="s"/>
      <c r="I39" s="69" t="s">
        <v>90</v>
      </c>
      <c r="J39" s="12" t="s"/>
      <c r="K39" s="12" t="s"/>
      <c r="L39" s="12" t="s"/>
      <c r="M39" s="12" t="s"/>
    </row>
    <row r="40" spans="1:15" ht="40.5">
      <c r="A40" s="12" t="s">
        <v>6</v>
      </c>
      <c r="B40" s="12" t="s">
        <v>8</v>
      </c>
      <c r="C40" s="9" t="s">
        <v>72</v>
      </c>
      <c r="D40" s="12" t="s">
        <v>75</v>
      </c>
      <c r="E40" s="12" t="s">
        <v>73</v>
      </c>
      <c r="F40" s="9" t="s">
        <v>91</v>
      </c>
      <c r="G40" s="9" t="s">
        <v>92</v>
      </c>
      <c r="I40" s="69" t="s">
        <v>6</v>
      </c>
      <c r="J40" s="12" t="s">
        <v>8</v>
      </c>
      <c r="K40" s="9" t="s">
        <v>72</v>
      </c>
      <c r="L40" s="12" t="s">
        <v>75</v>
      </c>
      <c r="M40" s="12" t="s">
        <v>73</v>
      </c>
      <c r="N40" s="9" t="s">
        <v>91</v>
      </c>
      <c r="O40" s="9" t="s">
        <v>92</v>
      </c>
    </row>
    <row r="41" spans="1:15" ht="22.9" customHeight="1">
      <c r="A41" s="75" t="s">
        <v>76</v>
      </c>
      <c r="B41" s="29">
        <v>1</v>
      </c>
      <c r="C41" s="30">
        <v>20.3</v>
      </c>
      <c r="D41" s="30">
        <v>20.05</v>
      </c>
      <c r="E41" s="70">
        <f>=IF(AND(ISNUMBER(C41),ISNUMBER(D41),C41&gt;0),(C41-D41)/C41,"")</f>
        <v>0.0123152709359606</v>
      </c>
      <c r="F41" s="30">
        <v>20.36</v>
      </c>
      <c r="G41" s="21" t="s"/>
      <c r="I41" s="77" t="s">
        <v>77</v>
      </c>
      <c r="J41" s="29">
        <v>1</v>
      </c>
      <c r="K41" s="30">
        <v>12.9</v>
      </c>
      <c r="L41" s="30">
        <v>15.29</v>
      </c>
      <c r="M41" s="70">
        <f>=IF(AND(ISNUMBER(K41),ISNUMBER(L41),K41&gt;0),(K41-L41)/K41,"")</f>
        <v>-0.185271317829457</v>
      </c>
      <c r="N41" s="30">
        <v>12.99</v>
      </c>
      <c r="O41" s="21" t="s"/>
    </row>
    <row r="42" spans="1:15" ht="22.9" customHeight="1">
      <c r="A42" s="75" t="s"/>
      <c r="B42" s="29">
        <v>2</v>
      </c>
      <c r="C42" s="30">
        <v>21.1</v>
      </c>
      <c r="D42" s="30">
        <v>20.46</v>
      </c>
      <c r="E42" s="70">
        <f>=IF(AND(ISNUMBER(C42),ISNUMBER(D42),C42&gt;0),(C42-D42)/C42,"")</f>
        <v>0.0303317535545024</v>
      </c>
      <c r="F42" s="30">
        <v>21.07</v>
      </c>
      <c r="G42" s="21" t="s"/>
      <c r="I42" s="77" t="s"/>
      <c r="J42" s="29">
        <v>2</v>
      </c>
      <c r="K42" s="30">
        <v>15.1</v>
      </c>
      <c r="L42" s="30">
        <v>16.66</v>
      </c>
      <c r="M42" s="70">
        <f>=IF(AND(ISNUMBER(K42),ISNUMBER(L42),K42&gt;0),(K42-L42)/K42,"")</f>
        <v>-0.103311258278146</v>
      </c>
      <c r="N42" s="30">
        <v>15.25</v>
      </c>
      <c r="O42" s="21" t="s"/>
    </row>
    <row r="43" spans="1:15" ht="22.9" customHeight="1">
      <c r="A43" s="75" t="s"/>
      <c r="B43" s="29">
        <v>4</v>
      </c>
      <c r="C43" s="30">
        <v>21.6</v>
      </c>
      <c r="D43" s="30">
        <v>21.19</v>
      </c>
      <c r="E43" s="70">
        <f>=IF(AND(ISNUMBER(C43),ISNUMBER(D43),C43&gt;0),(C43-D43)/C43,"")</f>
        <v>0.0189814814814815</v>
      </c>
      <c r="F43" s="30">
        <v>21.85</v>
      </c>
      <c r="G43" s="21" t="s"/>
      <c r="I43" s="77" t="s"/>
      <c r="J43" s="29">
        <v>4</v>
      </c>
      <c r="K43" s="30">
        <v>16.6</v>
      </c>
      <c r="L43" s="30">
        <v>17.63</v>
      </c>
      <c r="M43" s="70">
        <f>=IF(AND(ISNUMBER(K43),ISNUMBER(L43),K43&gt;0),(K43-L43)/K43,"")</f>
        <v>-0.0620481927710842</v>
      </c>
      <c r="N43" s="30">
        <v>16.66</v>
      </c>
      <c r="O43" s="21" t="s"/>
    </row>
    <row r="44" spans="1:15" ht="22.9" customHeight="1">
      <c r="A44" s="75" t="s"/>
      <c r="B44" s="29">
        <v>8</v>
      </c>
      <c r="C44" s="30">
        <v>23.4</v>
      </c>
      <c r="D44" s="30">
        <v>21.53</v>
      </c>
      <c r="E44" s="70">
        <f>=IF(AND(ISNUMBER(C44),ISNUMBER(D44),C44&gt;0),(C44-D44)/C44,"")</f>
        <v>0.0799145299145298</v>
      </c>
      <c r="F44" s="30">
        <v>23.19</v>
      </c>
      <c r="G44" s="21" t="s"/>
      <c r="I44" s="77" t="s"/>
      <c r="J44" s="29">
        <v>8</v>
      </c>
      <c r="K44" s="30">
        <v>18.2</v>
      </c>
      <c r="L44" s="30">
        <v>18.88</v>
      </c>
      <c r="M44" s="70">
        <f>=IF(AND(ISNUMBER(K44),ISNUMBER(L44),K44&gt;0),(K44-L44)/K44,"")</f>
        <v>-0.0373626373626374</v>
      </c>
      <c r="N44" s="30">
        <v>18.34</v>
      </c>
      <c r="O44" s="21" t="s"/>
    </row>
    <row r="45" spans="1:15" ht="22.9" customHeight="1">
      <c r="A45" s="75" t="s"/>
      <c r="B45" s="29">
        <v>16</v>
      </c>
      <c r="C45" s="30">
        <v>24.2</v>
      </c>
      <c r="D45" s="30">
        <v>22.22</v>
      </c>
      <c r="E45" s="70">
        <f>=IF(AND(ISNUMBER(C45),ISNUMBER(D45),C45&gt;0),(C45-D45)/C45,"")</f>
        <v>0.0818181818181819</v>
      </c>
      <c r="F45" s="30">
        <v>23.17</v>
      </c>
      <c r="G45" s="21" t="s"/>
      <c r="I45" s="77" t="s"/>
      <c r="J45" s="29">
        <v>16</v>
      </c>
      <c r="K45" s="30">
        <v>23.3</v>
      </c>
      <c r="L45" s="30">
        <v>23.38</v>
      </c>
      <c r="M45" s="70">
        <f>=IF(AND(ISNUMBER(K45),ISNUMBER(L45),K45&gt;0),(K45-L45)/K45,"")</f>
        <v>-0.00343347639484971</v>
      </c>
      <c r="N45" s="30">
        <v>22.96</v>
      </c>
      <c r="O45" s="21" t="s"/>
    </row>
    <row r="46" spans="1:15" ht="22.9" customHeight="1">
      <c r="A46" s="75" t="s"/>
      <c r="B46" s="29">
        <v>32</v>
      </c>
      <c r="C46" s="30">
        <v>27.7</v>
      </c>
      <c r="D46" s="30">
        <v>25.26</v>
      </c>
      <c r="E46" s="70">
        <f>=IF(AND(ISNUMBER(C46),ISNUMBER(D46),C46&gt;0),(C46-D46)/C46,"")</f>
        <v>0.0880866425992779</v>
      </c>
      <c r="F46" s="30">
        <v>27.7</v>
      </c>
      <c r="G46" s="21" t="s"/>
      <c r="I46" s="77" t="s"/>
      <c r="J46" s="29">
        <v>32</v>
      </c>
      <c r="K46" s="30">
        <v>33.8</v>
      </c>
      <c r="L46" s="30">
        <v>34.7</v>
      </c>
      <c r="M46" s="70">
        <f>=IF(AND(ISNUMBER(K46),ISNUMBER(L46),K46&gt;0),(K46-L46)/K46,"")</f>
        <v>-0.0266272189349114</v>
      </c>
      <c r="N46" s="30">
        <v>33.36</v>
      </c>
      <c r="O46" s="21" t="s"/>
    </row>
    <row r="47" spans="1:15" ht="22.9" customHeight="1">
      <c r="A47" s="75" t="s"/>
      <c r="B47" s="29">
        <v>48</v>
      </c>
      <c r="C47" s="30">
        <v>32.7</v>
      </c>
      <c r="D47" s="30">
        <v>30.68</v>
      </c>
      <c r="E47" s="70">
        <f>=IF(AND(ISNUMBER(C47),ISNUMBER(D47),C47&gt;0),(C47-D47)/C47,"")</f>
        <v>0.0617737003058105</v>
      </c>
      <c r="F47" s="78">
        <v>34.27</v>
      </c>
      <c r="G47" s="21" t="s"/>
      <c r="I47" s="77" t="s"/>
      <c r="J47" s="29">
        <v>48</v>
      </c>
      <c r="K47" s="30">
        <v>43</v>
      </c>
      <c r="L47" s="30">
        <v>42.96</v>
      </c>
      <c r="M47" s="70">
        <f>=IF(AND(ISNUMBER(K47),ISNUMBER(L47),K47&gt;0),(K47-L47)/K47,"")</f>
        <v>0.000930232558139515</v>
      </c>
      <c r="N47" s="30">
        <v>43.12</v>
      </c>
      <c r="O47" s="21" t="s"/>
    </row>
    <row r="48" spans="1:15" ht="22.9" customHeight="1">
      <c r="A48" s="75" t="s"/>
      <c r="B48" s="29">
        <v>64</v>
      </c>
      <c r="C48" s="30">
        <v>38.1</v>
      </c>
      <c r="D48" s="30">
        <v>35.73</v>
      </c>
      <c r="E48" s="70">
        <f>=IF(AND(ISNUMBER(C48),ISNUMBER(D48),C48&gt;0),(C48-D48)/C48,"")</f>
        <v>0.0622047244094489</v>
      </c>
      <c r="F48" s="78">
        <v>40.92</v>
      </c>
      <c r="G48" s="21" t="s"/>
      <c r="I48" s="77" t="s"/>
      <c r="J48" s="29">
        <v>64</v>
      </c>
      <c r="K48" s="30">
        <v>50.3</v>
      </c>
      <c r="L48" s="30">
        <v>52.08</v>
      </c>
      <c r="M48" s="70">
        <f>=IF(AND(ISNUMBER(K48),ISNUMBER(L48),K48&gt;0),(K48-L48)/K48,"")</f>
        <v>-0.0353876739562625</v>
      </c>
      <c r="N48" s="78">
        <v>52.83</v>
      </c>
      <c r="O48" s="21" t="s"/>
    </row>
    <row r="49" spans="1:15" ht="22.9" customHeight="1">
      <c r="A49" s="75" t="s"/>
      <c r="B49" s="29">
        <v>96</v>
      </c>
      <c r="C49" s="30">
        <v>49.21</v>
      </c>
      <c r="D49" s="30">
        <v>47.1</v>
      </c>
      <c r="E49" s="70">
        <f>=IF(AND(ISNUMBER(C49),ISNUMBER(D49),C49&gt;0),(C49-D49)/C49,"")</f>
        <v>0.0428774639300955</v>
      </c>
      <c r="F49" s="78">
        <v>53.56</v>
      </c>
      <c r="G49" s="21" t="s"/>
      <c r="I49" s="77" t="s"/>
      <c r="J49" s="29">
        <v>96</v>
      </c>
      <c r="K49" s="30">
        <v>74.23</v>
      </c>
      <c r="L49" s="30">
        <v>69.59</v>
      </c>
      <c r="M49" s="70">
        <f>=IF(AND(ISNUMBER(K49),ISNUMBER(L49),K49&gt;0),(K49-L49)/K49,"")</f>
        <v>0.0625084197763708</v>
      </c>
      <c r="N49" s="78">
        <v>75.66</v>
      </c>
      <c r="O49" s="21" t="s"/>
    </row>
    <row r="50" spans="1:15" ht="22.9" customHeight="1">
      <c r="A50" s="75" t="s"/>
      <c r="B50" s="29">
        <v>128</v>
      </c>
      <c r="C50" s="30">
        <v>58.1</v>
      </c>
      <c r="D50" s="30">
        <v>56.6</v>
      </c>
      <c r="E50" s="70">
        <f>=IF(AND(ISNUMBER(C50),ISNUMBER(D50),C50&gt;0),(C50-D50)/C50,"")</f>
        <v>0.0258175559380379</v>
      </c>
      <c r="F50" s="78">
        <v>60.46</v>
      </c>
      <c r="G50" s="21" t="s"/>
      <c r="I50" s="77" t="s"/>
      <c r="J50" s="29">
        <v>128</v>
      </c>
      <c r="K50" s="30">
        <v>91.5</v>
      </c>
      <c r="L50" s="30">
        <v>87.03</v>
      </c>
      <c r="M50" s="70">
        <f>=IF(AND(ISNUMBER(K50),ISNUMBER(L50),K50&gt;0),(K50-L50)/K50,"")</f>
        <v>0.0488524590163934</v>
      </c>
      <c r="N50" s="78">
        <v>94.5</v>
      </c>
      <c r="O50" s="21" t="s"/>
    </row>
    <row r="51" spans="1:15" ht="22.9" customHeight="1">
      <c r="A51" s="75" t="s"/>
      <c r="B51" s="29">
        <v>192</v>
      </c>
      <c r="C51" s="30">
        <v>85.2</v>
      </c>
      <c r="D51" s="30">
        <v>80.49</v>
      </c>
      <c r="E51" s="70">
        <f>=IF(AND(ISNUMBER(C51),ISNUMBER(D51),C51&gt;0),(C51-D51)/C51,"")</f>
        <v>0.0552816901408452</v>
      </c>
      <c r="F51" s="30">
        <v>83.91</v>
      </c>
      <c r="G51" s="21" t="s"/>
      <c r="I51" s="77" t="s"/>
      <c r="J51" s="29">
        <v>192</v>
      </c>
      <c r="K51" s="30">
        <v>131.2</v>
      </c>
      <c r="L51" s="30">
        <v>122</v>
      </c>
      <c r="M51" s="70">
        <f>=IF(AND(ISNUMBER(K51),ISNUMBER(L51),K51&gt;0),(K51-L51)/K51,"")</f>
        <v>0.0701219512195121</v>
      </c>
      <c r="N51" s="78">
        <v>137.88</v>
      </c>
      <c r="O51" s="21" t="s"/>
    </row>
    <row r="52" spans="1:15" ht="22.9" customHeight="1">
      <c r="A52" s="75" t="s"/>
      <c r="B52" s="29">
        <v>256</v>
      </c>
      <c r="C52" s="30">
        <v>102.3</v>
      </c>
      <c r="D52" s="30">
        <v>102.66</v>
      </c>
      <c r="E52" s="70">
        <f>=IF(AND(ISNUMBER(C52),ISNUMBER(D52),C52&gt;0),(C52-D52)/C52,"")</f>
        <v>-0.00351906158357771</v>
      </c>
      <c r="F52" s="30">
        <v>102.76</v>
      </c>
      <c r="G52" s="21" t="s"/>
      <c r="I52" s="77" t="s"/>
      <c r="J52" s="29">
        <v>256</v>
      </c>
      <c r="K52" s="30">
        <v>170.8</v>
      </c>
      <c r="L52" s="30">
        <v>154.28</v>
      </c>
      <c r="M52" s="70">
        <f>=IF(AND(ISNUMBER(K52),ISNUMBER(L52),K52&gt;0),(K52-L52)/K52,"")</f>
        <v>0.0967213114754099</v>
      </c>
      <c r="N52" s="78">
        <v>178.21</v>
      </c>
      <c r="O52" s="21" t="s"/>
    </row>
    <row r="53" spans="1:13" ht="31.9" customHeight="1">
      <c r="A53" s="73" t="s">
        <v>88</v>
      </c>
      <c r="B53" s="73" t="s"/>
      <c r="C53" s="73" t="s"/>
      <c r="D53" s="73" t="s"/>
      <c r="E53" s="73" t="s"/>
      <c r="F53" s="73" t="s"/>
      <c r="I53" s="73" t="s">
        <v>88</v>
      </c>
      <c r="J53" s="73" t="s"/>
      <c r="K53" s="73" t="s"/>
      <c r="L53" s="73" t="s"/>
      <c r="M53" s="73" t="s"/>
    </row>
    <row r="54" spans="1:13" ht="22.9" customHeight="1">
      <c r="A54" s="6" t="s"/>
      <c r="B54" s="6" t="s"/>
      <c r="C54" s="6" t="s"/>
      <c r="D54" s="6" t="s"/>
      <c r="E54" s="6" t="s"/>
      <c r="F54" s="6" t="s"/>
      <c r="I54" s="6" t="s"/>
      <c r="J54" s="6" t="s"/>
      <c r="K54" s="6" t="s"/>
      <c r="L54" s="6" t="s"/>
      <c r="M54" s="6" t="s"/>
    </row>
    <row r="55" spans="1:13" ht="22.9" customHeight="1">
      <c r="A55" s="6" t="s"/>
      <c r="B55" s="6" t="s"/>
      <c r="C55" s="6" t="s"/>
      <c r="D55" s="6" t="s"/>
      <c r="E55" s="6" t="s"/>
      <c r="F55" s="6" t="s"/>
      <c r="I55" s="6" t="s"/>
      <c r="J55" s="6" t="s"/>
      <c r="K55" s="6" t="s"/>
      <c r="L55" s="6" t="s"/>
      <c r="M55" s="6" t="s"/>
    </row>
    <row r="56" spans="1:13" ht="22.9" customHeight="1">
      <c r="A56" s="12" t="s">
        <v>93</v>
      </c>
      <c r="B56" s="12" t="s"/>
      <c r="C56" s="12" t="s"/>
      <c r="D56" s="12" t="s"/>
      <c r="E56" s="12" t="s"/>
      <c r="F56" s="6" t="s"/>
      <c r="I56" s="69" t="s">
        <v>94</v>
      </c>
      <c r="J56" s="12" t="s"/>
      <c r="K56" s="12" t="s"/>
      <c r="L56" s="12" t="s"/>
      <c r="M56" s="12" t="s"/>
    </row>
    <row r="57" spans="1:13" ht="24" customHeight="1">
      <c r="A57" s="12" t="s">
        <v>6</v>
      </c>
      <c r="B57" s="12" t="s">
        <v>8</v>
      </c>
      <c r="C57" s="12" t="s">
        <v>95</v>
      </c>
      <c r="D57" s="12" t="s">
        <v>75</v>
      </c>
      <c r="E57" s="12" t="s">
        <v>73</v>
      </c>
      <c r="F57" s="6" t="s"/>
      <c r="I57" s="69" t="s">
        <v>6</v>
      </c>
      <c r="J57" s="12" t="s">
        <v>8</v>
      </c>
      <c r="K57" s="12" t="s">
        <v>95</v>
      </c>
      <c r="L57" s="12" t="s">
        <v>75</v>
      </c>
      <c r="M57" s="12" t="s">
        <v>73</v>
      </c>
    </row>
    <row r="58" spans="1:13" ht="22.9" customHeight="1">
      <c r="A58" s="75" t="s">
        <v>76</v>
      </c>
      <c r="B58" s="29">
        <v>1</v>
      </c>
      <c r="C58" s="30" t="s"/>
      <c r="D58" s="30">
        <v>20.69</v>
      </c>
      <c r="E58" s="70" t="str">
        <f>=IF(AND(ISNUMBER(C58),ISNUMBER(D58),C58&gt;0),(C58-D58)/C58,"")</f>
        <v/>
      </c>
      <c r="F58" s="79" t="s"/>
      <c r="I58" s="77" t="s">
        <v>77</v>
      </c>
      <c r="J58" s="29">
        <v>1</v>
      </c>
      <c r="K58" s="30" t="s"/>
      <c r="L58" s="30">
        <v>17.55</v>
      </c>
      <c r="M58" s="70" t="str">
        <f>=IF(AND(ISNUMBER(K58),ISNUMBER(L58),K58&gt;0),(K58-L58)/K58,"")</f>
        <v/>
      </c>
    </row>
    <row r="59" spans="1:13" ht="22.9" customHeight="1">
      <c r="A59" s="75" t="s"/>
      <c r="B59" s="29">
        <v>2</v>
      </c>
      <c r="C59" s="30" t="s"/>
      <c r="D59" s="30">
        <v>20.91</v>
      </c>
      <c r="E59" s="70" t="str">
        <f>=IF(AND(ISNUMBER(C59),ISNUMBER(D59),C59&gt;0),(C59-D59)/C59,"")</f>
        <v/>
      </c>
      <c r="F59" s="79" t="s"/>
      <c r="I59" s="77" t="s"/>
      <c r="J59" s="29">
        <v>2</v>
      </c>
      <c r="K59" s="30" t="s"/>
      <c r="L59" s="30">
        <v>17.92</v>
      </c>
      <c r="M59" s="70" t="str">
        <f>=IF(AND(ISNUMBER(K59),ISNUMBER(L59),K59&gt;0),(K59-L59)/K59,"")</f>
        <v/>
      </c>
    </row>
    <row r="60" spans="1:13" ht="22.9" customHeight="1">
      <c r="A60" s="75" t="s"/>
      <c r="B60" s="29">
        <v>4</v>
      </c>
      <c r="C60" s="30" t="s"/>
      <c r="D60" s="30">
        <v>21.71</v>
      </c>
      <c r="E60" s="70" t="str">
        <f>=IF(AND(ISNUMBER(C60),ISNUMBER(D60),C60&gt;0),(C60-D60)/C60,"")</f>
        <v/>
      </c>
      <c r="F60" s="79" t="s"/>
      <c r="I60" s="77" t="s"/>
      <c r="J60" s="29">
        <v>4</v>
      </c>
      <c r="K60" s="30" t="s"/>
      <c r="L60" s="30">
        <v>18.84</v>
      </c>
      <c r="M60" s="70" t="str">
        <f>=IF(AND(ISNUMBER(K60),ISNUMBER(L60),K60&gt;0),(K60-L60)/K60,"")</f>
        <v/>
      </c>
    </row>
    <row r="61" spans="1:13" ht="22.9" customHeight="1">
      <c r="A61" s="75" t="s"/>
      <c r="B61" s="29">
        <v>8</v>
      </c>
      <c r="C61" s="30" t="s"/>
      <c r="D61" s="30">
        <v>22.17</v>
      </c>
      <c r="E61" s="70" t="str">
        <f>=IF(AND(ISNUMBER(C61),ISNUMBER(D61),C61&gt;0),(C61-D61)/C61,"")</f>
        <v/>
      </c>
      <c r="F61" s="79" t="s"/>
      <c r="I61" s="77" t="s"/>
      <c r="J61" s="29">
        <v>8</v>
      </c>
      <c r="K61" s="30" t="s"/>
      <c r="L61" s="30">
        <v>20.53</v>
      </c>
      <c r="M61" s="70" t="str">
        <f>=IF(AND(ISNUMBER(K61),ISNUMBER(L61),K61&gt;0),(K61-L61)/K61,"")</f>
        <v/>
      </c>
    </row>
    <row r="62" spans="1:13" ht="22.9" customHeight="1">
      <c r="A62" s="75" t="s"/>
      <c r="B62" s="29">
        <v>16</v>
      </c>
      <c r="C62" s="30" t="s"/>
      <c r="D62" s="30">
        <v>22.57</v>
      </c>
      <c r="E62" s="70" t="str">
        <f>=IF(AND(ISNUMBER(C62),ISNUMBER(D62),C62&gt;0),(C62-D62)/C62,"")</f>
        <v/>
      </c>
      <c r="F62" s="79" t="s"/>
      <c r="I62" s="77" t="s"/>
      <c r="J62" s="29">
        <v>16</v>
      </c>
      <c r="K62" s="30" t="s"/>
      <c r="L62" s="30">
        <v>25.03</v>
      </c>
      <c r="M62" s="70" t="str">
        <f>=IF(AND(ISNUMBER(K62),ISNUMBER(L62),K62&gt;0),(K62-L62)/K62,"")</f>
        <v/>
      </c>
    </row>
    <row r="63" spans="1:13" ht="22.9" customHeight="1">
      <c r="A63" s="75" t="s"/>
      <c r="B63" s="29">
        <v>32</v>
      </c>
      <c r="C63" s="30" t="s"/>
      <c r="D63" s="30">
        <v>25.38</v>
      </c>
      <c r="E63" s="70" t="str">
        <f>=IF(AND(ISNUMBER(C63),ISNUMBER(D63),C63&gt;0),(C63-D63)/C63,"")</f>
        <v/>
      </c>
      <c r="F63" s="79" t="s"/>
      <c r="I63" s="77" t="s"/>
      <c r="J63" s="29">
        <v>32</v>
      </c>
      <c r="K63" s="30" t="s"/>
      <c r="L63" s="30">
        <v>37.21</v>
      </c>
      <c r="M63" s="70" t="str">
        <f>=IF(AND(ISNUMBER(K63),ISNUMBER(L63),K63&gt;0),(K63-L63)/K63,"")</f>
        <v/>
      </c>
    </row>
    <row r="64" spans="1:13" ht="22.9" customHeight="1">
      <c r="A64" s="75" t="s"/>
      <c r="B64" s="29">
        <v>48</v>
      </c>
      <c r="C64" s="30" t="s"/>
      <c r="D64" s="30">
        <v>31.67</v>
      </c>
      <c r="E64" s="70" t="str">
        <f>=IF(AND(ISNUMBER(C64),ISNUMBER(D64),C64&gt;0),(C64-D64)/C64,"")</f>
        <v/>
      </c>
      <c r="F64" s="79" t="s"/>
      <c r="I64" s="77" t="s"/>
      <c r="J64" s="29">
        <v>48</v>
      </c>
      <c r="K64" s="30" t="s"/>
      <c r="L64" s="30">
        <v>57.31</v>
      </c>
      <c r="M64" s="70" t="str">
        <f>=IF(AND(ISNUMBER(K64),ISNUMBER(L64),K64&gt;0),(K64-L64)/K64,"")</f>
        <v/>
      </c>
    </row>
    <row r="65" spans="1:13" ht="22.9" customHeight="1">
      <c r="A65" s="75" t="s"/>
      <c r="B65" s="29">
        <v>64</v>
      </c>
      <c r="C65" s="30" t="s"/>
      <c r="D65" s="30">
        <v>41.58</v>
      </c>
      <c r="E65" s="70" t="str">
        <f>=IF(AND(ISNUMBER(C65),ISNUMBER(D65),C65&gt;0),(C65-D65)/C65,"")</f>
        <v/>
      </c>
      <c r="F65" s="79" t="s"/>
      <c r="I65" s="77" t="s"/>
      <c r="J65" s="29">
        <v>64</v>
      </c>
      <c r="K65" s="30" t="s"/>
      <c r="L65" s="30">
        <v>64.77</v>
      </c>
      <c r="M65" s="70" t="str">
        <f>=IF(AND(ISNUMBER(K65),ISNUMBER(L65),K65&gt;0),(K65-L65)/K65,"")</f>
        <v/>
      </c>
    </row>
    <row r="66" spans="1:13" ht="22.9" customHeight="1">
      <c r="A66" s="75" t="s"/>
      <c r="B66" s="29">
        <v>96</v>
      </c>
      <c r="C66" s="30" t="s"/>
      <c r="D66" s="30">
        <v>51.08</v>
      </c>
      <c r="E66" s="70" t="str">
        <f>=IF(AND(ISNUMBER(C66),ISNUMBER(D66),C66&gt;0),(C66-D66)/C66,"")</f>
        <v/>
      </c>
      <c r="F66" s="79" t="s"/>
      <c r="I66" s="77" t="s"/>
      <c r="J66" s="29">
        <v>96</v>
      </c>
      <c r="K66" s="30" t="s"/>
      <c r="L66" s="30">
        <v>87.19</v>
      </c>
      <c r="M66" s="70" t="str">
        <f>=IF(AND(ISNUMBER(K66),ISNUMBER(L66),K66&gt;0),(K66-L66)/K66,"")</f>
        <v/>
      </c>
    </row>
    <row r="67" spans="1:13" ht="22.9" customHeight="1">
      <c r="A67" s="75" t="s"/>
      <c r="B67" s="29">
        <v>128</v>
      </c>
      <c r="C67" s="30" t="s"/>
      <c r="D67" s="30">
        <v>67.82</v>
      </c>
      <c r="E67" s="70" t="str">
        <f>=IF(AND(ISNUMBER(C67),ISNUMBER(D67),C67&gt;0),(C67-D67)/C67,"")</f>
        <v/>
      </c>
      <c r="F67" s="79" t="s"/>
      <c r="I67" s="77" t="s"/>
      <c r="J67" s="29">
        <v>128</v>
      </c>
      <c r="K67" s="30" t="s"/>
      <c r="L67" s="30">
        <v>106.32</v>
      </c>
      <c r="M67" s="70" t="str">
        <f>=IF(AND(ISNUMBER(K67),ISNUMBER(L67),K67&gt;0),(K67-L67)/K67,"")</f>
        <v/>
      </c>
    </row>
    <row r="68" spans="1:13" ht="22.9" customHeight="1">
      <c r="A68" s="75" t="s"/>
      <c r="B68" s="29">
        <v>192</v>
      </c>
      <c r="C68" s="30" t="s"/>
      <c r="D68" s="30">
        <v>90.76</v>
      </c>
      <c r="E68" s="70" t="str">
        <f>=IF(AND(ISNUMBER(C68),ISNUMBER(D68),C68&gt;0),(C68-D68)/C68,"")</f>
        <v/>
      </c>
      <c r="F68" s="79" t="s"/>
      <c r="I68" s="77" t="s"/>
      <c r="J68" s="29">
        <v>192</v>
      </c>
      <c r="K68" s="30" t="s"/>
      <c r="L68" s="30">
        <v>148.37</v>
      </c>
      <c r="M68" s="70" t="str">
        <f>=IF(AND(ISNUMBER(K68),ISNUMBER(L68),K68&gt;0),(K68-L68)/K68,"")</f>
        <v/>
      </c>
    </row>
    <row r="69" spans="1:13" ht="22.9" customHeight="1">
      <c r="A69" s="75" t="s"/>
      <c r="B69" s="29">
        <v>256</v>
      </c>
      <c r="C69" s="30" t="s"/>
      <c r="D69" s="30">
        <v>117.71</v>
      </c>
      <c r="E69" s="70" t="str">
        <f>=IF(AND(ISNUMBER(C69),ISNUMBER(D69),C69&gt;0),(C69-D69)/C69,"")</f>
        <v/>
      </c>
      <c r="F69" s="79" t="s"/>
      <c r="I69" s="77" t="s"/>
      <c r="J69" s="29">
        <v>256</v>
      </c>
      <c r="K69" s="30" t="s"/>
      <c r="L69" s="30">
        <v>202.6</v>
      </c>
      <c r="M69" s="70" t="str">
        <f>=IF(AND(ISNUMBER(K69),ISNUMBER(L69),K69&gt;0),(K69-L69)/K69,"")</f>
        <v/>
      </c>
    </row>
    <row r="70" spans="1:13" ht="31.9" customHeight="1">
      <c r="A70" s="73" t="s"/>
      <c r="B70" s="73" t="s"/>
      <c r="C70" s="73" t="s"/>
      <c r="D70" s="73" t="s"/>
      <c r="E70" s="73" t="s"/>
      <c r="F70" s="73" t="s"/>
      <c r="I70" s="73" t="s"/>
      <c r="J70" s="73" t="s"/>
      <c r="K70" s="73" t="s"/>
      <c r="L70" s="73" t="s"/>
      <c r="M70" s="73" t="s"/>
    </row>
    <row r="71" spans="1:13" ht="22.9" customHeight="1">
      <c r="A71" s="6" t="s"/>
      <c r="B71" s="6" t="s"/>
      <c r="C71" s="6" t="s"/>
      <c r="D71" s="6" t="s"/>
      <c r="E71" s="6" t="s"/>
      <c r="F71" s="6" t="s"/>
      <c r="I71" s="6" t="s"/>
      <c r="J71" s="6" t="s"/>
      <c r="K71" s="6" t="s"/>
      <c r="L71" s="6" t="s"/>
      <c r="M71" s="6" t="s"/>
    </row>
    <row r="72" spans="1:13" ht="22.9" customHeight="1">
      <c r="A72" s="6" t="s"/>
      <c r="B72" s="6" t="s"/>
      <c r="C72" s="6" t="s"/>
      <c r="D72" s="6" t="s"/>
      <c r="E72" s="6" t="s"/>
      <c r="F72" s="6" t="s"/>
      <c r="I72" s="6" t="s"/>
      <c r="J72" s="6" t="s"/>
      <c r="K72" s="6" t="s"/>
      <c r="L72" s="6" t="s"/>
      <c r="M72" s="6" t="s"/>
    </row>
    <row r="73" spans="1:13" ht="22.9" customHeight="1">
      <c r="A73" s="12" t="s">
        <v>96</v>
      </c>
      <c r="B73" s="12" t="s"/>
      <c r="C73" s="12" t="s"/>
      <c r="D73" s="12" t="s"/>
      <c r="E73" s="12" t="s"/>
      <c r="F73" s="6" t="s"/>
      <c r="I73" s="69" t="s">
        <v>97</v>
      </c>
      <c r="J73" s="12" t="s"/>
      <c r="K73" s="12" t="s"/>
      <c r="L73" s="12" t="s"/>
      <c r="M73" s="12" t="s"/>
    </row>
    <row r="74" spans="1:13" ht="24" customHeight="1">
      <c r="A74" s="12" t="s">
        <v>6</v>
      </c>
      <c r="B74" s="12" t="s">
        <v>8</v>
      </c>
      <c r="C74" s="12" t="s">
        <v>52</v>
      </c>
      <c r="D74" s="12" t="s">
        <v>75</v>
      </c>
      <c r="E74" s="12" t="s">
        <v>73</v>
      </c>
      <c r="F74" s="6" t="s"/>
      <c r="I74" s="69" t="s">
        <v>6</v>
      </c>
      <c r="J74" s="12" t="s">
        <v>8</v>
      </c>
      <c r="K74" s="12" t="s">
        <v>52</v>
      </c>
      <c r="L74" s="12" t="s">
        <v>75</v>
      </c>
      <c r="M74" s="12" t="s">
        <v>73</v>
      </c>
    </row>
    <row r="75" spans="1:13" ht="22.9" customHeight="1">
      <c r="A75" s="9" t="s">
        <v>98</v>
      </c>
      <c r="B75" s="29">
        <v>1</v>
      </c>
      <c r="C75" s="30" t="s"/>
      <c r="D75" s="30">
        <v>39.86</v>
      </c>
      <c r="E75" s="70" t="str">
        <f>=IF(AND(ISNUMBER(C75),ISNUMBER(D75),C75&gt;0),(C75-D75)/C75,"")</f>
        <v/>
      </c>
      <c r="F75" s="79" t="s"/>
      <c r="I75" s="71" t="s">
        <v>99</v>
      </c>
      <c r="J75" s="29">
        <v>1</v>
      </c>
      <c r="K75" s="30" t="s"/>
      <c r="L75" s="30">
        <v>14.03</v>
      </c>
      <c r="M75" s="70" t="str">
        <f>=IF(AND(ISNUMBER(K75),ISNUMBER(L75),K75&gt;0),(K75-L75)/K75,"")</f>
        <v/>
      </c>
    </row>
    <row r="76" spans="1:13" ht="22.9" customHeight="1">
      <c r="A76" s="9" t="s"/>
      <c r="B76" s="29">
        <v>2</v>
      </c>
      <c r="C76" s="30" t="s"/>
      <c r="D76" s="30">
        <v>40.66</v>
      </c>
      <c r="E76" s="70" t="str">
        <f>=IF(AND(ISNUMBER(C76),ISNUMBER(D76),C76&gt;0),(C76-D76)/C76,"")</f>
        <v/>
      </c>
      <c r="F76" s="79" t="s"/>
      <c r="I76" s="71" t="s"/>
      <c r="J76" s="29">
        <v>2</v>
      </c>
      <c r="K76" s="30" t="s"/>
      <c r="L76" s="30">
        <v>14.41</v>
      </c>
      <c r="M76" s="70" t="str">
        <f>=IF(AND(ISNUMBER(K76),ISNUMBER(L76),K76&gt;0),(K76-L76)/K76,"")</f>
        <v/>
      </c>
    </row>
    <row r="77" spans="1:13" ht="22.9" customHeight="1">
      <c r="A77" s="9" t="s"/>
      <c r="B77" s="29">
        <v>4</v>
      </c>
      <c r="C77" s="30" t="s"/>
      <c r="D77" s="30">
        <v>41</v>
      </c>
      <c r="E77" s="70" t="str">
        <f>=IF(AND(ISNUMBER(C77),ISNUMBER(D77),C77&gt;0),(C77-D77)/C77,"")</f>
        <v/>
      </c>
      <c r="F77" s="79" t="s"/>
      <c r="I77" s="71" t="s"/>
      <c r="J77" s="29">
        <v>4</v>
      </c>
      <c r="K77" s="30" t="s"/>
      <c r="L77" s="30">
        <v>15.36</v>
      </c>
      <c r="M77" s="70" t="str">
        <f>=IF(AND(ISNUMBER(K77),ISNUMBER(L77),K77&gt;0),(K77-L77)/K77,"")</f>
        <v/>
      </c>
    </row>
    <row r="78" spans="1:13" ht="22.9" customHeight="1">
      <c r="A78" s="9" t="s"/>
      <c r="B78" s="29">
        <v>8</v>
      </c>
      <c r="C78" s="30" t="s"/>
      <c r="D78" s="30">
        <v>43.38</v>
      </c>
      <c r="E78" s="70" t="str">
        <f>=IF(AND(ISNUMBER(C78),ISNUMBER(D78),C78&gt;0),(C78-D78)/C78,"")</f>
        <v/>
      </c>
      <c r="F78" s="79" t="s"/>
      <c r="I78" s="71" t="s"/>
      <c r="J78" s="29">
        <v>8</v>
      </c>
      <c r="K78" s="30" t="s"/>
      <c r="L78" s="30">
        <v>17.28</v>
      </c>
      <c r="M78" s="70" t="str">
        <f>=IF(AND(ISNUMBER(K78),ISNUMBER(L78),K78&gt;0),(K78-L78)/K78,"")</f>
        <v/>
      </c>
    </row>
    <row r="79" spans="1:13" ht="22.9" customHeight="1">
      <c r="A79" s="9" t="s"/>
      <c r="B79" s="29">
        <v>16</v>
      </c>
      <c r="C79" s="30" t="s"/>
      <c r="D79" s="30">
        <v>49.82</v>
      </c>
      <c r="E79" s="70" t="str">
        <f>=IF(AND(ISNUMBER(C79),ISNUMBER(D79),C79&gt;0),(C79-D79)/C79,"")</f>
        <v/>
      </c>
      <c r="F79" s="79" t="s"/>
      <c r="I79" s="71" t="s"/>
      <c r="J79" s="29">
        <v>16</v>
      </c>
      <c r="K79" s="30" t="s"/>
      <c r="L79" s="30">
        <v>21.51</v>
      </c>
      <c r="M79" s="70" t="str">
        <f>=IF(AND(ISNUMBER(K79),ISNUMBER(L79),K79&gt;0),(K79-L79)/K79,"")</f>
        <v/>
      </c>
    </row>
    <row r="80" spans="1:13" ht="22.9" customHeight="1">
      <c r="A80" s="9" t="s"/>
      <c r="B80" s="29">
        <v>32</v>
      </c>
      <c r="C80" s="30" t="s"/>
      <c r="D80" s="30">
        <v>59.56</v>
      </c>
      <c r="E80" s="70" t="str">
        <f>=IF(AND(ISNUMBER(C80),ISNUMBER(D80),C80&gt;0),(C80-D80)/C80,"")</f>
        <v/>
      </c>
      <c r="F80" s="79" t="s"/>
      <c r="I80" s="71" t="s"/>
      <c r="J80" s="29">
        <v>32</v>
      </c>
      <c r="K80" s="30" t="s"/>
      <c r="L80" s="30">
        <v>32.3</v>
      </c>
      <c r="M80" s="70" t="str">
        <f>=IF(AND(ISNUMBER(K80),ISNUMBER(L80),K80&gt;0),(K80-L80)/K80,"")</f>
        <v/>
      </c>
    </row>
    <row r="81" spans="1:13" ht="22.9" customHeight="1">
      <c r="A81" s="9" t="s"/>
      <c r="B81" s="29">
        <v>48</v>
      </c>
      <c r="C81" s="30" t="s"/>
      <c r="D81" s="30">
        <v>67.95</v>
      </c>
      <c r="E81" s="70" t="str">
        <f>=IF(AND(ISNUMBER(C81),ISNUMBER(D81),C81&gt;0),(C81-D81)/C81,"")</f>
        <v/>
      </c>
      <c r="F81" s="79" t="s"/>
      <c r="I81" s="71" t="s"/>
      <c r="J81" s="29">
        <v>48</v>
      </c>
      <c r="K81" s="30" t="s"/>
      <c r="L81" s="30">
        <v>41.17</v>
      </c>
      <c r="M81" s="70" t="str">
        <f>=IF(AND(ISNUMBER(K81),ISNUMBER(L81),K81&gt;0),(K81-L81)/K81,"")</f>
        <v/>
      </c>
    </row>
    <row r="82" spans="1:13" ht="22.9" customHeight="1">
      <c r="A82" s="9" t="s"/>
      <c r="B82" s="29">
        <v>64</v>
      </c>
      <c r="C82" s="30" t="s"/>
      <c r="D82" s="30">
        <v>75.12</v>
      </c>
      <c r="E82" s="70" t="str">
        <f>=IF(AND(ISNUMBER(C82),ISNUMBER(D82),C82&gt;0),(C82-D82)/C82,"")</f>
        <v/>
      </c>
      <c r="F82" s="79" t="s"/>
      <c r="I82" s="71" t="s"/>
      <c r="J82" s="29">
        <v>64</v>
      </c>
      <c r="K82" s="30" t="s"/>
      <c r="L82" s="30">
        <v>48.76</v>
      </c>
      <c r="M82" s="70" t="str">
        <f>=IF(AND(ISNUMBER(K82),ISNUMBER(L82),K82&gt;0),(K82-L82)/K82,"")</f>
        <v/>
      </c>
    </row>
    <row r="83" spans="1:13" ht="22.9" customHeight="1">
      <c r="A83" s="9" t="s"/>
      <c r="B83" s="29">
        <v>96</v>
      </c>
      <c r="C83" s="30" t="s"/>
      <c r="D83" s="30">
        <v>97.42</v>
      </c>
      <c r="E83" s="70" t="str">
        <f>=IF(AND(ISNUMBER(C83),ISNUMBER(D83),C83&gt;0),(C83-D83)/C83,"")</f>
        <v/>
      </c>
      <c r="F83" s="79" t="s"/>
      <c r="I83" s="71" t="s"/>
      <c r="J83" s="29">
        <v>96</v>
      </c>
      <c r="K83" s="30" t="s"/>
      <c r="L83" s="30">
        <v>66.67</v>
      </c>
      <c r="M83" s="70" t="str">
        <f>=IF(AND(ISNUMBER(K83),ISNUMBER(L83),K83&gt;0),(K83-L83)/K83,"")</f>
        <v/>
      </c>
    </row>
    <row r="84" spans="1:13" ht="22.9" customHeight="1">
      <c r="A84" s="9" t="s"/>
      <c r="B84" s="29">
        <v>128</v>
      </c>
      <c r="C84" s="30" t="s"/>
      <c r="D84" s="30">
        <v>115.46</v>
      </c>
      <c r="E84" s="70" t="str">
        <f>=IF(AND(ISNUMBER(C84),ISNUMBER(#REF!),C84&gt;0),(C84-#REF!)/C84,"")</f>
        <v/>
      </c>
      <c r="F84" s="79" t="s"/>
      <c r="I84" s="71" t="s"/>
      <c r="J84" s="29">
        <v>128</v>
      </c>
      <c r="K84" s="30" t="s"/>
      <c r="L84" s="30">
        <v>86.3</v>
      </c>
      <c r="M84" s="70" t="str">
        <f>=IF(AND(ISNUMBER(K84),ISNUMBER(#REF!),K84&gt;0),(K84-#REF!)/K84,"")</f>
        <v/>
      </c>
    </row>
    <row r="85" spans="1:13" ht="22.9" customHeight="1">
      <c r="A85" s="9" t="s"/>
      <c r="B85" s="29">
        <v>192</v>
      </c>
      <c r="C85" s="30" t="s"/>
      <c r="D85" s="30">
        <v>169.26</v>
      </c>
      <c r="E85" s="70" t="str">
        <f>=IF(AND(ISNUMBER(C85),ISNUMBER(D85),C85&gt;0),(C85-D85)/C85,"")</f>
        <v/>
      </c>
      <c r="F85" s="79" t="s"/>
      <c r="I85" s="71" t="s"/>
      <c r="J85" s="29">
        <v>192</v>
      </c>
      <c r="K85" s="30" t="s"/>
      <c r="L85" s="30">
        <v>120.27</v>
      </c>
      <c r="M85" s="70" t="str">
        <f>=IF(AND(ISNUMBER(K85),ISNUMBER(L85),K85&gt;0),(K85-L85)/K85,"")</f>
        <v/>
      </c>
    </row>
    <row r="86" spans="1:13" ht="22.9" customHeight="1">
      <c r="A86" s="9" t="s"/>
      <c r="B86" s="29">
        <v>256</v>
      </c>
      <c r="C86" s="30" t="s"/>
      <c r="D86" s="30">
        <v>221.34</v>
      </c>
      <c r="E86" s="70" t="str">
        <f>=IF(AND(ISNUMBER(C86),ISNUMBER(D86),C86&gt;0),(C86-D86)/C86,"")</f>
        <v/>
      </c>
      <c r="F86" s="79" t="s"/>
      <c r="I86" s="71" t="s"/>
      <c r="J86" s="29">
        <v>256</v>
      </c>
      <c r="K86" s="30" t="s"/>
      <c r="L86" s="30">
        <v>157.74</v>
      </c>
      <c r="M86" s="70" t="str">
        <f>=IF(AND(ISNUMBER(K86),ISNUMBER(L86),K86&gt;0),(K86-L86)/K86,"")</f>
        <v/>
      </c>
    </row>
    <row r="87" spans="1:13" ht="31.9" customHeight="1">
      <c r="A87" s="73" t="s"/>
      <c r="B87" s="73" t="s"/>
      <c r="C87" s="73" t="s"/>
      <c r="D87" s="73" t="s"/>
      <c r="E87" s="73" t="s"/>
      <c r="F87" s="73" t="s"/>
      <c r="I87" s="73" t="s"/>
      <c r="J87" s="73" t="s"/>
      <c r="K87" s="73" t="s"/>
      <c r="L87" s="73" t="s"/>
      <c r="M87" s="73" t="s"/>
    </row>
    <row r="88" spans="1:13" ht="22.9" customHeight="1">
      <c r="A88" s="6" t="s"/>
      <c r="B88" s="6" t="s"/>
      <c r="C88" s="6" t="s"/>
      <c r="D88" s="6" t="s"/>
      <c r="E88" s="6" t="s"/>
      <c r="F88" s="6" t="s"/>
      <c r="I88" s="6" t="s"/>
      <c r="J88" s="6" t="s"/>
      <c r="K88" s="6" t="s"/>
      <c r="L88" s="6" t="s"/>
      <c r="M88" s="6" t="s"/>
    </row>
    <row r="89" spans="1:13" ht="22.9" customHeight="1">
      <c r="A89" s="6" t="s"/>
      <c r="B89" s="6" t="s"/>
      <c r="C89" s="6" t="s"/>
      <c r="D89" s="6" t="s"/>
      <c r="E89" s="6" t="s"/>
      <c r="F89" s="6" t="s"/>
      <c r="I89" s="6" t="s"/>
      <c r="J89" s="6" t="s"/>
      <c r="K89" s="6" t="s"/>
      <c r="L89" s="6" t="s"/>
      <c r="M89" s="6" t="s"/>
    </row>
    <row r="90" spans="1:13" ht="22.9" customHeight="1">
      <c r="A90" s="12" t="s">
        <v>100</v>
      </c>
      <c r="B90" s="12" t="s"/>
      <c r="C90" s="12" t="s"/>
      <c r="D90" s="12" t="s"/>
      <c r="E90" s="12" t="s"/>
      <c r="F90" s="6" t="s"/>
      <c r="I90" s="69" t="s">
        <v>101</v>
      </c>
      <c r="J90" s="12" t="s"/>
      <c r="K90" s="12" t="s"/>
      <c r="L90" s="12" t="s"/>
      <c r="M90" s="12" t="s"/>
    </row>
    <row r="91" spans="1:14" ht="24" customHeight="1">
      <c r="A91" s="12" t="s">
        <v>6</v>
      </c>
      <c r="B91" s="12" t="s">
        <v>8</v>
      </c>
      <c r="C91" s="12" t="s">
        <v>52</v>
      </c>
      <c r="D91" s="12" t="s">
        <v>75</v>
      </c>
      <c r="E91" s="12" t="s">
        <v>73</v>
      </c>
      <c r="F91" s="9" t="s">
        <v>102</v>
      </c>
      <c r="G91" s="9" t="s">
        <v>103</v>
      </c>
      <c r="I91" s="69" t="s">
        <v>6</v>
      </c>
      <c r="J91" s="12" t="s">
        <v>8</v>
      </c>
      <c r="K91" s="12" t="s">
        <v>52</v>
      </c>
      <c r="L91" s="12" t="s">
        <v>75</v>
      </c>
      <c r="M91" s="12" t="s">
        <v>73</v>
      </c>
      <c r="N91" s="9" t="s">
        <v>104</v>
      </c>
    </row>
    <row r="92" spans="1:14" ht="22.9" customHeight="1">
      <c r="A92" s="75" t="s">
        <v>105</v>
      </c>
      <c r="B92" s="29">
        <v>1</v>
      </c>
      <c r="C92" s="30" t="s"/>
      <c r="D92" s="30">
        <v>50.8</v>
      </c>
      <c r="E92" s="70" t="str">
        <f>=IF(AND(ISNUMBER(C92),ISNUMBER(D92),C92&gt;0),(C92-D92)/C92,"")</f>
        <v/>
      </c>
      <c r="F92" s="30">
        <v>23.84</v>
      </c>
      <c r="G92" s="30">
        <v>22.31</v>
      </c>
      <c r="I92" s="77" t="s">
        <v>99</v>
      </c>
      <c r="J92" s="29">
        <v>1</v>
      </c>
      <c r="K92" s="30" t="s"/>
      <c r="L92" s="30">
        <v>17.03</v>
      </c>
      <c r="M92" s="70" t="str">
        <f>=IF(AND(ISNUMBER(K92),ISNUMBER(L92),K92&gt;0),(K92-L92)/K92,"")</f>
        <v/>
      </c>
      <c r="N92" s="30">
        <v>17.03</v>
      </c>
    </row>
    <row r="93" spans="1:14" ht="22.9" customHeight="1">
      <c r="A93" s="75" t="s"/>
      <c r="B93" s="29">
        <v>2</v>
      </c>
      <c r="C93" s="30" t="s"/>
      <c r="D93" s="30">
        <v>52.59</v>
      </c>
      <c r="E93" s="70" t="str">
        <f>=IF(AND(ISNUMBER(C93),ISNUMBER(D93),C93&gt;0),(C93-D93)/C93,"")</f>
        <v/>
      </c>
      <c r="F93" s="30">
        <v>25.13</v>
      </c>
      <c r="G93" s="30">
        <v>22.79</v>
      </c>
      <c r="I93" s="77" t="s"/>
      <c r="J93" s="29">
        <v>2</v>
      </c>
      <c r="K93" s="30" t="s"/>
      <c r="L93" s="30">
        <v>17.63</v>
      </c>
      <c r="M93" s="70" t="str">
        <f>=IF(AND(ISNUMBER(K93),ISNUMBER(L93),K93&gt;0),(K93-L93)/K93,"")</f>
        <v/>
      </c>
      <c r="N93" s="30">
        <v>17.7</v>
      </c>
    </row>
    <row r="94" spans="1:14" ht="22.9" customHeight="1">
      <c r="A94" s="75" t="s"/>
      <c r="B94" s="29">
        <v>4</v>
      </c>
      <c r="C94" s="30" t="s"/>
      <c r="D94" s="30">
        <v>52.47</v>
      </c>
      <c r="E94" s="70" t="str">
        <f>=IF(AND(ISNUMBER(C94),ISNUMBER(D94),C94&gt;0),(C94-D94)/C94,"")</f>
        <v/>
      </c>
      <c r="F94" s="30">
        <v>24.12</v>
      </c>
      <c r="G94" s="30">
        <v>22.23</v>
      </c>
      <c r="I94" s="77" t="s"/>
      <c r="J94" s="29">
        <v>4</v>
      </c>
      <c r="K94" s="30" t="s"/>
      <c r="L94" s="30">
        <v>18.78</v>
      </c>
      <c r="M94" s="70" t="str">
        <f>=IF(AND(ISNUMBER(K94),ISNUMBER(L94),K94&gt;0),(K94-L94)/K94,"")</f>
        <v/>
      </c>
      <c r="N94" s="30">
        <v>18.78</v>
      </c>
    </row>
    <row r="95" spans="1:14" ht="22.9" customHeight="1">
      <c r="A95" s="75" t="s"/>
      <c r="B95" s="29">
        <v>8</v>
      </c>
      <c r="C95" s="30" t="s"/>
      <c r="D95" s="30">
        <v>55.86</v>
      </c>
      <c r="E95" s="70" t="str">
        <f>=IF(AND(ISNUMBER(C95),ISNUMBER(D95),C95&gt;0),(C95-D95)/C95,"")</f>
        <v/>
      </c>
      <c r="F95" s="30">
        <v>26.22</v>
      </c>
      <c r="G95" s="30">
        <v>23.54</v>
      </c>
      <c r="I95" s="77" t="s"/>
      <c r="J95" s="29">
        <v>8</v>
      </c>
      <c r="K95" s="30" t="s"/>
      <c r="L95" s="30">
        <v>20.54</v>
      </c>
      <c r="M95" s="70" t="str">
        <f>=IF(AND(ISNUMBER(K95),ISNUMBER(L95),K95&gt;0),(K95-L95)/K95,"")</f>
        <v/>
      </c>
      <c r="N95" s="30">
        <v>20.81</v>
      </c>
    </row>
    <row r="96" spans="1:14" ht="22.9" customHeight="1">
      <c r="A96" s="75" t="s"/>
      <c r="B96" s="29">
        <v>16</v>
      </c>
      <c r="C96" s="30" t="s"/>
      <c r="D96" s="30">
        <v>62.77</v>
      </c>
      <c r="E96" s="70" t="str">
        <f>=IF(AND(ISNUMBER(C96),ISNUMBER(D96),C96&gt;0),(C96-D96)/C96,"")</f>
        <v/>
      </c>
      <c r="F96" s="30">
        <v>31.97</v>
      </c>
      <c r="G96" s="30">
        <v>26.19</v>
      </c>
      <c r="I96" s="77" t="s"/>
      <c r="J96" s="29">
        <v>16</v>
      </c>
      <c r="K96" s="30" t="s"/>
      <c r="L96" s="30">
        <v>24.81</v>
      </c>
      <c r="M96" s="70" t="str">
        <f>=IF(AND(ISNUMBER(K96),ISNUMBER(L96),K96&gt;0),(K96-L96)/K96,"")</f>
        <v/>
      </c>
      <c r="N96" s="30">
        <v>28.2</v>
      </c>
    </row>
    <row r="97" spans="1:14" ht="22.9" customHeight="1">
      <c r="A97" s="75" t="s"/>
      <c r="B97" s="29">
        <v>32</v>
      </c>
      <c r="C97" s="30" t="s"/>
      <c r="D97" s="30">
        <v>76.49</v>
      </c>
      <c r="E97" s="70" t="str">
        <f>=IF(AND(ISNUMBER(C97),ISNUMBER(D97),C97&gt;0),(C97-D97)/C97,"")</f>
        <v/>
      </c>
      <c r="F97" s="30">
        <v>52.33</v>
      </c>
      <c r="G97" s="30">
        <v>36.33</v>
      </c>
      <c r="I97" s="77" t="s"/>
      <c r="J97" s="29">
        <v>32</v>
      </c>
      <c r="K97" s="30" t="s"/>
      <c r="L97" s="30">
        <v>38.33</v>
      </c>
      <c r="M97" s="70" t="str">
        <f>=IF(AND(ISNUMBER(K97),ISNUMBER(L97),K97&gt;0),(K97-L97)/K97,"")</f>
        <v/>
      </c>
      <c r="N97" s="30">
        <v>44.4</v>
      </c>
    </row>
    <row r="98" spans="1:14" ht="22.9" customHeight="1">
      <c r="A98" s="75" t="s"/>
      <c r="B98" s="29">
        <v>48</v>
      </c>
      <c r="C98" s="30" t="s"/>
      <c r="D98" s="30">
        <v>81.17</v>
      </c>
      <c r="E98" s="70" t="str">
        <f>=IF(AND(ISNUMBER(C98),ISNUMBER(D98),C98&gt;0),(C98-D98)/C98,"")</f>
        <v/>
      </c>
      <c r="F98" s="30">
        <v>45.89</v>
      </c>
      <c r="G98" s="30">
        <v>45.66</v>
      </c>
      <c r="I98" s="77" t="s"/>
      <c r="J98" s="29">
        <v>48</v>
      </c>
      <c r="K98" s="30" t="s"/>
      <c r="L98" s="30">
        <v>45.89</v>
      </c>
      <c r="M98" s="70" t="str">
        <f>=IF(AND(ISNUMBER(K98),ISNUMBER(L98),K98&gt;0),(K98-L98)/K98,"")</f>
        <v/>
      </c>
      <c r="N98" s="30">
        <v>45.86</v>
      </c>
    </row>
    <row r="99" spans="1:14" ht="22.9" customHeight="1">
      <c r="A99" s="75" t="s"/>
      <c r="B99" s="29">
        <v>64</v>
      </c>
      <c r="C99" s="30" t="s"/>
      <c r="D99" s="30">
        <v>90.66</v>
      </c>
      <c r="E99" s="70" t="str">
        <f>=IF(AND(ISNUMBER(C99),ISNUMBER(D99),C99&gt;0),(C99-D99)/C99,"")</f>
        <v/>
      </c>
      <c r="F99" s="30">
        <v>54.55</v>
      </c>
      <c r="G99" s="30">
        <v>47.71</v>
      </c>
      <c r="I99" s="77" t="s"/>
      <c r="J99" s="29">
        <v>64</v>
      </c>
      <c r="K99" s="30" t="s"/>
      <c r="L99" s="30">
        <v>54.58</v>
      </c>
      <c r="M99" s="70" t="str">
        <f>=IF(AND(ISNUMBER(K99),ISNUMBER(L99),K99&gt;0),(K99-L99)/K99,"")</f>
        <v/>
      </c>
      <c r="N99" s="30">
        <v>54.73</v>
      </c>
    </row>
    <row r="100" spans="1:14" ht="22.9" customHeight="1">
      <c r="A100" s="75" t="s"/>
      <c r="B100" s="29">
        <v>96</v>
      </c>
      <c r="C100" s="30" t="s"/>
      <c r="D100" s="30">
        <v>109.84</v>
      </c>
      <c r="E100" s="70" t="str">
        <f>=IF(AND(ISNUMBER(C100),ISNUMBER(D100),C100&gt;0),(C100-D100)/C100,"")</f>
        <v/>
      </c>
      <c r="F100" s="30">
        <v>74.83</v>
      </c>
      <c r="G100" s="30">
        <v>64.85</v>
      </c>
      <c r="I100" s="77" t="s"/>
      <c r="J100" s="29">
        <v>96</v>
      </c>
      <c r="K100" s="30" t="s"/>
      <c r="L100" s="30">
        <v>71.21</v>
      </c>
      <c r="M100" s="70" t="str">
        <f>=IF(AND(ISNUMBER(K100),ISNUMBER(L100),K100&gt;0),(K100-L100)/K100,"")</f>
        <v/>
      </c>
      <c r="N100" s="30">
        <v>71.62</v>
      </c>
    </row>
    <row r="101" spans="1:14" ht="22.9" customHeight="1">
      <c r="A101" s="75" t="s"/>
      <c r="B101" s="29">
        <v>128</v>
      </c>
      <c r="C101" s="30" t="s"/>
      <c r="D101" s="30">
        <v>130.23</v>
      </c>
      <c r="E101" s="70" t="str">
        <f>=IF(AND(ISNUMBER(C101),ISNUMBER(D101),C101&gt;0),(C101-D101)/C101,"")</f>
        <v/>
      </c>
      <c r="F101" s="30">
        <v>93.36</v>
      </c>
      <c r="G101" s="30">
        <v>81.96</v>
      </c>
      <c r="I101" s="77" t="s"/>
      <c r="J101" s="29">
        <v>128</v>
      </c>
      <c r="K101" s="30" t="s"/>
      <c r="L101" s="30">
        <v>89.16</v>
      </c>
      <c r="M101" s="70" t="str">
        <f>=IF(AND(ISNUMBER(K101),ISNUMBER(L101),K101&gt;0),(K101-L101)/K101,"")</f>
        <v/>
      </c>
      <c r="N101" s="30">
        <v>89.02</v>
      </c>
    </row>
    <row r="102" spans="1:14" ht="22.9" customHeight="1">
      <c r="A102" s="75" t="s"/>
      <c r="B102" s="29">
        <v>192</v>
      </c>
      <c r="C102" s="30" t="s"/>
      <c r="D102" s="30">
        <v>173.47</v>
      </c>
      <c r="E102" s="70" t="str">
        <f>=IF(AND(ISNUMBER(C102),ISNUMBER(D102),C102&gt;0),(C102-D102)/C102,"")</f>
        <v/>
      </c>
      <c r="F102" s="30">
        <v>134.35</v>
      </c>
      <c r="G102" s="30">
        <v>115.26</v>
      </c>
      <c r="I102" s="77" t="s"/>
      <c r="J102" s="29">
        <v>192</v>
      </c>
      <c r="K102" s="30" t="s"/>
      <c r="L102" s="30">
        <v>128.61</v>
      </c>
      <c r="M102" s="70" t="str">
        <f>=IF(AND(ISNUMBER(K102),ISNUMBER(L102),K102&gt;0),(K102-L102)/K102,"")</f>
        <v/>
      </c>
      <c r="N102" s="30">
        <v>128.15</v>
      </c>
    </row>
    <row r="103" spans="1:14" ht="22.9" customHeight="1">
      <c r="A103" s="75" t="s"/>
      <c r="B103" s="29">
        <v>256</v>
      </c>
      <c r="C103" s="30" t="s"/>
      <c r="D103" s="30" t="s"/>
      <c r="E103" s="70" t="str">
        <f>=IF(AND(ISNUMBER(C103),ISNUMBER(D103),C103&gt;0),(C103-D103)/C103,"")</f>
        <v/>
      </c>
      <c r="F103" s="30" t="s"/>
      <c r="G103" s="30" t="s"/>
      <c r="I103" s="77" t="s"/>
      <c r="J103" s="29">
        <v>256</v>
      </c>
      <c r="K103" s="30" t="s"/>
      <c r="L103" s="30" t="s"/>
      <c r="M103" s="70" t="str">
        <f>=IF(AND(ISNUMBER(K103),ISNUMBER(L103),K103&gt;0),(K103-L103)/K103,"")</f>
        <v/>
      </c>
      <c r="N103" s="30" t="s"/>
    </row>
    <row r="104" spans="1:13" ht="31.9" customHeight="1">
      <c r="A104" s="73" t="s"/>
      <c r="B104" s="73" t="s"/>
      <c r="C104" s="73" t="s"/>
      <c r="D104" s="73" t="s"/>
      <c r="E104" s="73" t="s"/>
      <c r="F104" s="73" t="s"/>
      <c r="I104" s="73" t="s"/>
      <c r="J104" s="73" t="s"/>
      <c r="K104" s="73" t="s"/>
      <c r="L104" s="73" t="s"/>
      <c r="M104" s="73" t="s"/>
    </row>
    <row r="105" spans="1:13" ht="22.9" customHeight="1">
      <c r="A105" s="6" t="s"/>
      <c r="B105" s="6" t="s"/>
      <c r="C105" s="6" t="s"/>
      <c r="D105" s="6" t="s"/>
      <c r="E105" s="6" t="s"/>
      <c r="F105" s="6" t="s"/>
      <c r="I105" s="6" t="s"/>
      <c r="J105" s="6" t="s"/>
      <c r="K105" s="6" t="s"/>
      <c r="L105" s="6" t="s"/>
      <c r="M105" s="6" t="s"/>
    </row>
    <row r="106" spans="1:13" ht="22.9" customHeight="1">
      <c r="A106" s="6" t="s"/>
      <c r="B106" s="6" t="s"/>
      <c r="C106" s="6" t="s"/>
      <c r="D106" s="6" t="s"/>
      <c r="E106" s="6" t="s"/>
      <c r="F106" s="6" t="s"/>
      <c r="I106" s="6" t="s"/>
      <c r="J106" s="6" t="s"/>
      <c r="K106" s="6" t="s"/>
      <c r="L106" s="6" t="s"/>
      <c r="M106" s="6" t="s"/>
    </row>
    <row r="107" spans="1:13" ht="22.9" customHeight="1">
      <c r="A107" s="12" t="s">
        <v>106</v>
      </c>
      <c r="B107" s="12" t="s"/>
      <c r="C107" s="12" t="s"/>
      <c r="D107" s="12" t="s"/>
      <c r="E107" s="12" t="s"/>
      <c r="F107" s="6" t="s"/>
      <c r="I107" s="69" t="s">
        <v>107</v>
      </c>
      <c r="J107" s="12" t="s"/>
      <c r="K107" s="12" t="s"/>
      <c r="L107" s="12" t="s"/>
      <c r="M107" s="12" t="s"/>
    </row>
    <row r="108" spans="1:13" ht="24" customHeight="1">
      <c r="A108" s="12" t="s">
        <v>6</v>
      </c>
      <c r="B108" s="12" t="s">
        <v>8</v>
      </c>
      <c r="C108" s="12" t="s">
        <v>52</v>
      </c>
      <c r="D108" s="12" t="s">
        <v>75</v>
      </c>
      <c r="E108" s="12" t="s">
        <v>73</v>
      </c>
      <c r="F108" s="6" t="s"/>
      <c r="I108" s="69" t="s">
        <v>6</v>
      </c>
      <c r="J108" s="12" t="s">
        <v>8</v>
      </c>
      <c r="K108" s="12" t="s">
        <v>52</v>
      </c>
      <c r="L108" s="12" t="s">
        <v>75</v>
      </c>
      <c r="M108" s="12" t="s">
        <v>73</v>
      </c>
    </row>
    <row r="109" spans="1:13" ht="22.9" customHeight="1">
      <c r="A109" s="75" t="s">
        <v>105</v>
      </c>
      <c r="B109" s="29">
        <v>1</v>
      </c>
      <c r="C109" s="30" t="s"/>
      <c r="D109" s="30">
        <v>54.84</v>
      </c>
      <c r="E109" s="70" t="str">
        <f>=IF(AND(ISNUMBER(C109),ISNUMBER(D109),C109&gt;0),(C109-D109)/C109,"")</f>
        <v/>
      </c>
      <c r="F109" s="79" t="s"/>
      <c r="I109" s="77" t="s">
        <v>99</v>
      </c>
      <c r="J109" s="29">
        <v>1</v>
      </c>
      <c r="K109" s="30" t="s"/>
      <c r="L109" s="30">
        <v>16.77</v>
      </c>
      <c r="M109" s="70" t="str">
        <f>=IF(AND(ISNUMBER(K109),ISNUMBER(L109),K109&gt;0),(K109-L109)/K109,"")</f>
        <v/>
      </c>
    </row>
    <row r="110" spans="1:13" ht="22.9" customHeight="1">
      <c r="A110" s="75" t="s"/>
      <c r="B110" s="29">
        <v>2</v>
      </c>
      <c r="C110" s="30" t="s"/>
      <c r="D110" s="30">
        <v>56.3</v>
      </c>
      <c r="E110" s="70" t="str">
        <f>=IF(AND(ISNUMBER(C110),ISNUMBER(D110),C110&gt;0),(C110-D110)/C110,"")</f>
        <v/>
      </c>
      <c r="F110" s="79" t="s"/>
      <c r="I110" s="77" t="s"/>
      <c r="J110" s="29">
        <v>2</v>
      </c>
      <c r="K110" s="30" t="s"/>
      <c r="L110" s="30">
        <v>17.43</v>
      </c>
      <c r="M110" s="70" t="str">
        <f>=IF(AND(ISNUMBER(K110),ISNUMBER(L110),K110&gt;0),(K110-L110)/K110,"")</f>
        <v/>
      </c>
    </row>
    <row r="111" spans="1:13" ht="22.9" customHeight="1">
      <c r="A111" s="75" t="s"/>
      <c r="B111" s="29">
        <v>4</v>
      </c>
      <c r="C111" s="30" t="s"/>
      <c r="D111" s="30">
        <v>56.87</v>
      </c>
      <c r="E111" s="70" t="str">
        <f>=IF(AND(ISNUMBER(C111),ISNUMBER(D111),C111&gt;0),(C111-D111)/C111,"")</f>
        <v/>
      </c>
      <c r="F111" s="79" t="s"/>
      <c r="I111" s="77" t="s"/>
      <c r="J111" s="29">
        <v>4</v>
      </c>
      <c r="K111" s="30" t="s"/>
      <c r="L111" s="30">
        <v>18.56</v>
      </c>
      <c r="M111" s="70" t="str">
        <f>=IF(AND(ISNUMBER(K111),ISNUMBER(L111),K111&gt;0),(K111-L111)/K111,"")</f>
        <v/>
      </c>
    </row>
    <row r="112" spans="1:13" ht="22.9" customHeight="1">
      <c r="A112" s="75" t="s"/>
      <c r="B112" s="29">
        <v>8</v>
      </c>
      <c r="C112" s="30" t="s"/>
      <c r="D112" s="30">
        <v>59.94</v>
      </c>
      <c r="E112" s="70" t="str">
        <f>=IF(AND(ISNUMBER(C112),ISNUMBER(D112),C112&gt;0),(C112-D112)/C112,"")</f>
        <v/>
      </c>
      <c r="F112" s="79" t="s"/>
      <c r="I112" s="77" t="s"/>
      <c r="J112" s="29">
        <v>8</v>
      </c>
      <c r="K112" s="30" t="s"/>
      <c r="L112" s="30">
        <v>21.29</v>
      </c>
      <c r="M112" s="70" t="str">
        <f>=IF(AND(ISNUMBER(K112),ISNUMBER(L112),K112&gt;0),(K112-L112)/K112,"")</f>
        <v/>
      </c>
    </row>
    <row r="113" spans="1:13" ht="22.9" customHeight="1">
      <c r="A113" s="75" t="s"/>
      <c r="B113" s="29">
        <v>16</v>
      </c>
      <c r="C113" s="30" t="s"/>
      <c r="D113" s="30">
        <v>67.43</v>
      </c>
      <c r="E113" s="70" t="str">
        <f>=IF(AND(ISNUMBER(C113),ISNUMBER(D113),C113&gt;0),(C113-D113)/C113,"")</f>
        <v/>
      </c>
      <c r="F113" s="79" t="s"/>
      <c r="I113" s="77" t="s"/>
      <c r="J113" s="29">
        <v>16</v>
      </c>
      <c r="K113" s="30" t="s"/>
      <c r="L113" s="30">
        <v>30.07</v>
      </c>
      <c r="M113" s="70" t="str">
        <f>=IF(AND(ISNUMBER(K113),ISNUMBER(L113),K113&gt;0),(K113-L113)/K113,"")</f>
        <v/>
      </c>
    </row>
    <row r="114" spans="1:13" ht="22.9" customHeight="1">
      <c r="A114" s="75" t="s"/>
      <c r="B114" s="29">
        <v>32</v>
      </c>
      <c r="C114" s="30" t="s"/>
      <c r="D114" s="30">
        <v>80.7</v>
      </c>
      <c r="E114" s="70" t="str">
        <f>=IF(AND(ISNUMBER(C114),ISNUMBER(D114),C114&gt;0),(C114-D114)/C114,"")</f>
        <v/>
      </c>
      <c r="F114" s="79" t="s"/>
      <c r="I114" s="77" t="s"/>
      <c r="J114" s="29">
        <v>32</v>
      </c>
      <c r="K114" s="30" t="s"/>
      <c r="L114" s="30">
        <v>51.41</v>
      </c>
      <c r="M114" s="70" t="str">
        <f>=IF(AND(ISNUMBER(K114),ISNUMBER(L114),K114&gt;0),(K114-L114)/K114,"")</f>
        <v/>
      </c>
    </row>
    <row r="115" spans="1:13" ht="22.9" customHeight="1">
      <c r="A115" s="75" t="s"/>
      <c r="B115" s="29">
        <v>48</v>
      </c>
      <c r="C115" s="30" t="s"/>
      <c r="D115" s="30">
        <v>87.33</v>
      </c>
      <c r="E115" s="70" t="str">
        <f>=IF(AND(ISNUMBER(C115),ISNUMBER(D115),C115&gt;0),(C115-D115)/C115,"")</f>
        <v/>
      </c>
      <c r="F115" s="79" t="s"/>
      <c r="I115" s="77" t="s"/>
      <c r="J115" s="29">
        <v>48</v>
      </c>
      <c r="K115" s="30" t="s"/>
      <c r="L115" s="30">
        <v>54.51</v>
      </c>
      <c r="M115" s="70" t="str">
        <f>=IF(AND(ISNUMBER(K115),ISNUMBER(L115),K115&gt;0),(K115-L115)/K115,"")</f>
        <v/>
      </c>
    </row>
    <row r="116" spans="1:13" ht="22.9" customHeight="1">
      <c r="A116" s="75" t="s"/>
      <c r="B116" s="29">
        <v>64</v>
      </c>
      <c r="C116" s="30" t="s"/>
      <c r="D116" s="30">
        <v>97.8</v>
      </c>
      <c r="E116" s="70" t="str">
        <f>=IF(AND(ISNUMBER(C116),ISNUMBER(D116),C116&gt;0),(C116-D116)/C116,"")</f>
        <v/>
      </c>
      <c r="F116" s="79" t="s"/>
      <c r="I116" s="77" t="s"/>
      <c r="J116" s="29">
        <v>64</v>
      </c>
      <c r="K116" s="30" t="s"/>
      <c r="L116" s="30">
        <v>67.63</v>
      </c>
      <c r="M116" s="70" t="str">
        <f>=IF(AND(ISNUMBER(K116),ISNUMBER(L116),K116&gt;0),(K116-L116)/K116,"")</f>
        <v/>
      </c>
    </row>
    <row r="117" spans="1:13" ht="22.9" customHeight="1">
      <c r="A117" s="75" t="s"/>
      <c r="B117" s="29">
        <v>96</v>
      </c>
      <c r="C117" s="30" t="s"/>
      <c r="D117" s="30">
        <v>111.56</v>
      </c>
      <c r="E117" s="70" t="str">
        <f>=IF(AND(ISNUMBER(C117),ISNUMBER(D117),C117&gt;0),(C117-D117)/C117,"")</f>
        <v/>
      </c>
      <c r="F117" s="79" t="s"/>
      <c r="I117" s="77" t="s"/>
      <c r="J117" s="29">
        <v>96</v>
      </c>
      <c r="K117" s="30" t="s"/>
      <c r="L117" s="30">
        <v>89.44</v>
      </c>
      <c r="M117" s="70" t="str">
        <f>=IF(AND(ISNUMBER(K117),ISNUMBER(L117),K117&gt;0),(K117-L117)/K117,"")</f>
        <v/>
      </c>
    </row>
    <row r="118" spans="1:13" ht="22.9" customHeight="1">
      <c r="A118" s="75" t="s"/>
      <c r="B118" s="29">
        <v>128</v>
      </c>
      <c r="C118" s="30" t="s"/>
      <c r="D118" s="30">
        <v>131.13</v>
      </c>
      <c r="E118" s="70" t="str">
        <f>=IF(AND(ISNUMBER(C118),ISNUMBER(D118),C118&gt;0),(C118-D118)/C118,"")</f>
        <v/>
      </c>
      <c r="F118" s="79" t="s"/>
      <c r="I118" s="77" t="s"/>
      <c r="J118" s="29">
        <v>128</v>
      </c>
      <c r="K118" s="30" t="s"/>
      <c r="L118" s="30">
        <v>111.31</v>
      </c>
      <c r="M118" s="70" t="str">
        <f>=IF(AND(ISNUMBER(K118),ISNUMBER(L118),K118&gt;0),(K118-L118)/K118,"")</f>
        <v/>
      </c>
    </row>
    <row r="119" spans="1:13" ht="22.9" customHeight="1">
      <c r="A119" s="75" t="s"/>
      <c r="B119" s="29">
        <v>192</v>
      </c>
      <c r="C119" s="30" t="s"/>
      <c r="D119" s="30">
        <v>174.97</v>
      </c>
      <c r="E119" s="70" t="str">
        <f>=IF(AND(ISNUMBER(C119),ISNUMBER(D119),C119&gt;0),(C119-D119)/C119,"")</f>
        <v/>
      </c>
      <c r="F119" s="79" t="s"/>
      <c r="I119" s="77" t="s"/>
      <c r="J119" s="29">
        <v>192</v>
      </c>
      <c r="K119" s="30" t="s"/>
      <c r="L119" s="30">
        <v>154.89</v>
      </c>
      <c r="M119" s="70" t="str">
        <f>=IF(AND(ISNUMBER(K119),ISNUMBER(L119),K119&gt;0),(K119-L119)/K119,"")</f>
        <v/>
      </c>
    </row>
    <row r="120" spans="1:13" ht="22.9" customHeight="1">
      <c r="A120" s="75" t="s"/>
      <c r="B120" s="29">
        <v>256</v>
      </c>
      <c r="C120" s="30" t="s"/>
      <c r="D120" s="30" t="s"/>
      <c r="E120" s="70" t="str">
        <f>=IF(AND(ISNUMBER(C120),ISNUMBER(D120),C120&gt;0),(C120-D120)/C120,"")</f>
        <v/>
      </c>
      <c r="F120" s="79" t="s"/>
      <c r="I120" s="77" t="s"/>
      <c r="J120" s="29">
        <v>256</v>
      </c>
      <c r="K120" s="30" t="s"/>
      <c r="L120" s="30" t="s"/>
      <c r="M120" s="70" t="str">
        <f>=IF(AND(ISNUMBER(K120),ISNUMBER(L120),K120&gt;0),(K120-L120)/K120,"")</f>
        <v/>
      </c>
    </row>
    <row r="121" spans="1:13" ht="31.9" customHeight="1">
      <c r="A121" s="73" t="s"/>
      <c r="B121" s="73" t="s"/>
      <c r="C121" s="73" t="s"/>
      <c r="D121" s="73" t="s"/>
      <c r="E121" s="73" t="s"/>
      <c r="F121" s="73" t="s"/>
      <c r="I121" s="73" t="s"/>
      <c r="J121" s="73" t="s"/>
      <c r="K121" s="73" t="s"/>
      <c r="L121" s="73" t="s"/>
      <c r="M121" s="73" t="s"/>
    </row>
    <row r="122" spans="1:12" ht="22.9" customHeight="1">
      <c r="A122" s="6" t="s"/>
      <c r="B122" s="6" t="s"/>
      <c r="C122" s="6" t="s"/>
      <c r="D122" s="6" t="s"/>
      <c r="E122" s="6" t="s"/>
      <c r="F122" s="6" t="s"/>
      <c r="I122" s="6" t="s"/>
      <c r="J122" s="6" t="s"/>
      <c r="K122" s="6" t="s"/>
      <c r="L122" s="6" t="s"/>
    </row>
    <row r="123" spans="1:13" ht="22.9" customHeight="1">
      <c r="A123" s="6" t="s"/>
      <c r="B123" s="6" t="s"/>
      <c r="C123" s="6" t="s"/>
      <c r="D123" s="6" t="s"/>
      <c r="E123" s="6" t="s"/>
      <c r="F123" s="6" t="s"/>
      <c r="I123" s="6" t="s"/>
      <c r="J123" s="6" t="s"/>
      <c r="K123" s="6" t="s"/>
      <c r="L123" s="6" t="s"/>
      <c r="M123" s="6" t="s"/>
    </row>
    <row r="124" spans="1:13" ht="22.9" customHeight="1">
      <c r="A124" s="12" t="s">
        <v>108</v>
      </c>
      <c r="B124" s="12" t="s"/>
      <c r="C124" s="12" t="s"/>
      <c r="D124" s="12" t="s"/>
      <c r="E124" s="12" t="s"/>
      <c r="F124" s="6" t="s"/>
      <c r="I124" s="69" t="s">
        <v>109</v>
      </c>
      <c r="J124" s="12" t="s"/>
      <c r="K124" s="12" t="s"/>
      <c r="L124" s="12" t="s"/>
      <c r="M124" s="12" t="s"/>
    </row>
    <row r="125" spans="1:13" ht="24" customHeight="1">
      <c r="A125" s="12" t="s">
        <v>6</v>
      </c>
      <c r="B125" s="12" t="s">
        <v>8</v>
      </c>
      <c r="C125" s="12" t="s">
        <v>52</v>
      </c>
      <c r="D125" s="12" t="s">
        <v>75</v>
      </c>
      <c r="E125" s="12" t="s">
        <v>73</v>
      </c>
      <c r="F125" s="6" t="s"/>
      <c r="I125" s="69" t="s">
        <v>6</v>
      </c>
      <c r="J125" s="12" t="s">
        <v>8</v>
      </c>
      <c r="K125" s="12" t="s">
        <v>52</v>
      </c>
      <c r="L125" s="12" t="s">
        <v>75</v>
      </c>
      <c r="M125" s="12" t="s">
        <v>73</v>
      </c>
    </row>
    <row r="126" spans="1:13" ht="22.9" customHeight="1">
      <c r="A126" s="75" t="s">
        <v>105</v>
      </c>
      <c r="B126" s="29">
        <v>1</v>
      </c>
      <c r="C126" s="30" t="s"/>
      <c r="D126" s="30">
        <v>62.53</v>
      </c>
      <c r="E126" s="70" t="str">
        <f>=IF(AND(ISNUMBER(C126),ISNUMBER(D126),C126&gt;0),(C126-D126)/C126,"")</f>
        <v/>
      </c>
      <c r="F126" s="79" t="s"/>
      <c r="I126" s="77" t="s">
        <v>99</v>
      </c>
      <c r="J126" s="29">
        <v>1</v>
      </c>
      <c r="K126" s="30" t="s"/>
      <c r="L126" s="30">
        <v>18.53</v>
      </c>
      <c r="M126" s="70" t="str">
        <f>=IF(AND(ISNUMBER(K126),ISNUMBER(L126),K126&gt;0),(K126-L126)/K126,"")</f>
        <v/>
      </c>
    </row>
    <row r="127" spans="1:13" ht="22.9" customHeight="1">
      <c r="A127" s="75" t="s"/>
      <c r="B127" s="29">
        <v>2</v>
      </c>
      <c r="C127" s="30" t="s"/>
      <c r="D127" s="30">
        <v>64.14</v>
      </c>
      <c r="E127" s="70" t="str">
        <f>=IF(AND(ISNUMBER(C127),ISNUMBER(D127),C127&gt;0),(C127-D127)/C127,"")</f>
        <v/>
      </c>
      <c r="F127" s="79" t="s"/>
      <c r="I127" s="77" t="s"/>
      <c r="J127" s="29">
        <v>2</v>
      </c>
      <c r="K127" s="30" t="s"/>
      <c r="L127" s="30">
        <v>19.47</v>
      </c>
      <c r="M127" s="70" t="str">
        <f>=IF(AND(ISNUMBER(K127),ISNUMBER(L127),K127&gt;0),(K127-L127)/K127,"")</f>
        <v/>
      </c>
    </row>
    <row r="128" spans="1:13" ht="22.9" customHeight="1">
      <c r="A128" s="75" t="s"/>
      <c r="B128" s="29">
        <v>4</v>
      </c>
      <c r="C128" s="30" t="s"/>
      <c r="D128" s="30">
        <v>64.43</v>
      </c>
      <c r="E128" s="70" t="str">
        <f>=IF(AND(ISNUMBER(C128),ISNUMBER(D128),C128&gt;0),(C128-D128)/C128,"")</f>
        <v/>
      </c>
      <c r="F128" s="79" t="s"/>
      <c r="I128" s="77" t="s"/>
      <c r="J128" s="29">
        <v>4</v>
      </c>
      <c r="K128" s="30" t="s"/>
      <c r="L128" s="30">
        <v>20.39</v>
      </c>
      <c r="M128" s="70" t="str">
        <f>=IF(AND(ISNUMBER(K128),ISNUMBER(L128),K128&gt;0),(K128-L128)/K128,"")</f>
        <v/>
      </c>
    </row>
    <row r="129" spans="1:13" ht="22.9" customHeight="1">
      <c r="A129" s="75" t="s"/>
      <c r="B129" s="29">
        <v>8</v>
      </c>
      <c r="C129" s="30" t="s"/>
      <c r="D129" s="30">
        <v>68.31</v>
      </c>
      <c r="E129" s="70" t="str">
        <f>=IF(AND(ISNUMBER(C129),ISNUMBER(D129),C129&gt;0),(C129-D129)/C129,"")</f>
        <v/>
      </c>
      <c r="F129" s="79" t="s"/>
      <c r="I129" s="77" t="s"/>
      <c r="J129" s="29">
        <v>8</v>
      </c>
      <c r="K129" s="30" t="s"/>
      <c r="L129" s="30">
        <v>22.91</v>
      </c>
      <c r="M129" s="70" t="str">
        <f>=IF(AND(ISNUMBER(K129),ISNUMBER(L129),K129&gt;0),(K129-L129)/K129,"")</f>
        <v/>
      </c>
    </row>
    <row r="130" spans="1:13" ht="22.9" customHeight="1">
      <c r="A130" s="75" t="s"/>
      <c r="B130" s="29">
        <v>16</v>
      </c>
      <c r="C130" s="30" t="s"/>
      <c r="D130" s="30">
        <v>75.99</v>
      </c>
      <c r="E130" s="70" t="str">
        <f>=IF(AND(ISNUMBER(C130),ISNUMBER(D130),C130&gt;0),(C130-D130)/C130,"")</f>
        <v/>
      </c>
      <c r="F130" s="79" t="s"/>
      <c r="I130" s="77" t="s"/>
      <c r="J130" s="29">
        <v>16</v>
      </c>
      <c r="K130" s="30" t="s"/>
      <c r="L130" s="30">
        <v>31.6</v>
      </c>
      <c r="M130" s="70" t="str">
        <f>=IF(AND(ISNUMBER(K130),ISNUMBER(L130),K130&gt;0),(K130-L130)/K130,"")</f>
        <v/>
      </c>
    </row>
    <row r="131" spans="1:13" ht="22.9" customHeight="1">
      <c r="A131" s="75" t="s"/>
      <c r="B131" s="29">
        <v>32</v>
      </c>
      <c r="C131" s="30" t="s"/>
      <c r="D131" s="30">
        <v>88.5</v>
      </c>
      <c r="E131" s="70" t="str">
        <f>=IF(AND(ISNUMBER(C131),ISNUMBER(D131),C131&gt;0),(C131-D131)/C131,"")</f>
        <v/>
      </c>
      <c r="F131" s="79" t="s"/>
      <c r="I131" s="77" t="s"/>
      <c r="J131" s="29">
        <v>32</v>
      </c>
      <c r="K131" s="30" t="s"/>
      <c r="L131" s="30">
        <v>49.71</v>
      </c>
      <c r="M131" s="70" t="str">
        <f>=IF(AND(ISNUMBER(K131),ISNUMBER(L131),K131&gt;0),(K131-L131)/K131,"")</f>
        <v/>
      </c>
    </row>
    <row r="132" spans="1:13" ht="22.9" customHeight="1">
      <c r="A132" s="75" t="s"/>
      <c r="B132" s="29">
        <v>48</v>
      </c>
      <c r="C132" s="30" t="s"/>
      <c r="D132" s="30">
        <v>103.23</v>
      </c>
      <c r="E132" s="70" t="str">
        <f>=IF(AND(ISNUMBER(C132),ISNUMBER(D132),C132&gt;0),(C132-D132)/C132,"")</f>
        <v/>
      </c>
      <c r="F132" s="79" t="s"/>
      <c r="I132" s="77" t="s"/>
      <c r="J132" s="29">
        <v>48</v>
      </c>
      <c r="K132" s="30" t="s"/>
      <c r="L132" s="30">
        <v>78.64</v>
      </c>
      <c r="M132" s="70" t="str">
        <f>=IF(AND(ISNUMBER(K132),ISNUMBER(L132),K132&gt;0),(K132-L132)/K132,"")</f>
        <v/>
      </c>
    </row>
    <row r="133" spans="1:13" ht="22.9" customHeight="1">
      <c r="A133" s="75" t="s"/>
      <c r="B133" s="29">
        <v>64</v>
      </c>
      <c r="C133" s="30" t="s"/>
      <c r="D133" s="30">
        <v>110.63</v>
      </c>
      <c r="E133" s="70" t="str">
        <f>=IF(AND(ISNUMBER(C133),ISNUMBER(D133),C133&gt;0),(C133-D133)/C133,"")</f>
        <v/>
      </c>
      <c r="F133" s="79" t="s"/>
      <c r="I133" s="77" t="s"/>
      <c r="J133" s="29">
        <v>64</v>
      </c>
      <c r="K133" s="30" t="s"/>
      <c r="L133" s="30">
        <v>94.94</v>
      </c>
      <c r="M133" s="70" t="str">
        <f>=IF(AND(ISNUMBER(K133),ISNUMBER(L133),K133&gt;0),(K133-L133)/K133,"")</f>
        <v/>
      </c>
    </row>
    <row r="134" spans="1:13" ht="22.9" customHeight="1">
      <c r="A134" s="75" t="s"/>
      <c r="B134" s="29">
        <v>96</v>
      </c>
      <c r="C134" s="30" t="s"/>
      <c r="D134" s="30">
        <v>134.64</v>
      </c>
      <c r="E134" s="70" t="str">
        <f>=IF(AND(ISNUMBER(C134),ISNUMBER(D134),C134&gt;0),(C134-D134)/C134,"")</f>
        <v/>
      </c>
      <c r="F134" s="79" t="s"/>
      <c r="I134" s="77" t="s"/>
      <c r="J134" s="29">
        <v>96</v>
      </c>
      <c r="K134" s="30" t="s"/>
      <c r="L134" s="30">
        <v>127.24</v>
      </c>
      <c r="M134" s="70" t="str">
        <f>=IF(AND(ISNUMBER(K134),ISNUMBER(L134),K134&gt;0),(K134-L134)/K134,"")</f>
        <v/>
      </c>
    </row>
    <row r="135" spans="1:13" ht="22.9" customHeight="1">
      <c r="A135" s="75" t="s"/>
      <c r="B135" s="29">
        <v>128</v>
      </c>
      <c r="C135" s="30" t="s"/>
      <c r="D135" s="30">
        <v>163.14</v>
      </c>
      <c r="E135" s="70" t="str">
        <f>=IF(AND(ISNUMBER(C135),ISNUMBER(D135),C135&gt;0),(C135-D135)/C135,"")</f>
        <v/>
      </c>
      <c r="F135" s="79" t="s"/>
      <c r="I135" s="77" t="s"/>
      <c r="J135" s="29">
        <v>128</v>
      </c>
      <c r="K135" s="30" t="s"/>
      <c r="L135" s="30">
        <v>161.96</v>
      </c>
      <c r="M135" s="70" t="str">
        <f>=IF(AND(ISNUMBER(K135),ISNUMBER(L135),K135&gt;0),(K135-L135)/K135,"")</f>
        <v/>
      </c>
    </row>
    <row r="136" spans="1:13" ht="22.9" customHeight="1">
      <c r="A136" s="75" t="s"/>
      <c r="B136" s="29">
        <v>192</v>
      </c>
      <c r="C136" s="30" t="s"/>
      <c r="D136" s="30" t="s"/>
      <c r="E136" s="70" t="str">
        <f>=IF(AND(ISNUMBER(C136),ISNUMBER(D136),C136&gt;0),(C136-D136)/C136,"")</f>
        <v/>
      </c>
      <c r="F136" s="79" t="s"/>
      <c r="I136" s="77" t="s"/>
      <c r="J136" s="29">
        <v>192</v>
      </c>
      <c r="K136" s="30" t="s"/>
      <c r="L136" s="30">
        <v>225.19</v>
      </c>
      <c r="M136" s="70" t="str">
        <f>=IF(AND(ISNUMBER(K136),ISNUMBER(L136),K136&gt;0),(K136-L136)/K136,"")</f>
        <v/>
      </c>
    </row>
    <row r="137" spans="1:13" ht="22.9" customHeight="1">
      <c r="A137" s="75" t="s"/>
      <c r="B137" s="29">
        <v>256</v>
      </c>
      <c r="C137" s="30" t="s"/>
      <c r="D137" s="30" t="s"/>
      <c r="E137" s="70" t="str">
        <f>=IF(AND(ISNUMBER(C137),ISNUMBER(D137),C137&gt;0),(C137-D137)/C137,"")</f>
        <v/>
      </c>
      <c r="F137" s="79" t="s"/>
      <c r="I137" s="77" t="s"/>
      <c r="J137" s="29">
        <v>256</v>
      </c>
      <c r="K137" s="30" t="s"/>
      <c r="L137" s="30">
        <v>315.17</v>
      </c>
      <c r="M137" s="70" t="str">
        <f>=IF(AND(ISNUMBER(K137),ISNUMBER(L137),K137&gt;0),(K137-L137)/K137,"")</f>
        <v/>
      </c>
    </row>
    <row r="138" spans="1:13" ht="31.9" customHeight="1">
      <c r="A138" s="73" t="s"/>
      <c r="B138" s="73" t="s"/>
      <c r="C138" s="73" t="s"/>
      <c r="D138" s="73" t="s"/>
      <c r="E138" s="73" t="s"/>
      <c r="F138" s="73" t="s"/>
      <c r="I138" s="73" t="s"/>
      <c r="J138" s="73" t="s"/>
      <c r="K138" s="73" t="s"/>
      <c r="L138" s="73" t="s"/>
      <c r="M138" s="73" t="s"/>
    </row>
    <row r="139" spans="1:13" ht="22.9" customHeight="1">
      <c r="A139" s="6" t="s"/>
      <c r="B139" s="6" t="s"/>
      <c r="C139" s="6" t="s"/>
      <c r="D139" s="6" t="s"/>
      <c r="E139" s="6" t="s"/>
      <c r="F139" s="6" t="s"/>
      <c r="I139" s="6" t="s"/>
      <c r="J139" s="6" t="s"/>
      <c r="K139" s="6" t="s"/>
      <c r="L139" s="6" t="s"/>
      <c r="M139" s="6" t="s"/>
    </row>
    <row r="140" spans="1:13" ht="22.9" customHeight="1">
      <c r="A140" s="6" t="s"/>
      <c r="B140" s="6" t="s"/>
      <c r="C140" s="6" t="s"/>
      <c r="D140" s="6" t="s"/>
      <c r="E140" s="6" t="s"/>
      <c r="F140" s="6" t="s"/>
      <c r="I140" s="6" t="s"/>
      <c r="J140" s="6" t="s"/>
      <c r="K140" s="6" t="s"/>
      <c r="L140" s="6" t="s"/>
      <c r="M140" s="6" t="s"/>
    </row>
    <row r="141" spans="1:13" ht="22.9" customHeight="1">
      <c r="A141" s="6" t="s"/>
      <c r="B141" s="6" t="s"/>
      <c r="C141" s="6" t="s"/>
      <c r="D141" s="6" t="s"/>
      <c r="E141" s="6" t="s"/>
      <c r="F141" s="6" t="s"/>
      <c r="I141" s="6" t="s"/>
      <c r="J141" s="6" t="s"/>
      <c r="K141" s="6" t="s"/>
      <c r="L141" s="6" t="s"/>
      <c r="M141" s="6" t="s"/>
    </row>
    <row r="143" spans="1:6" ht="22.9" customHeight="1">
      <c r="A143" s="4" t="s">
        <v>110</v>
      </c>
      <c r="B143" s="4" t="s"/>
      <c r="C143" s="4" t="s"/>
      <c r="D143" s="4" t="s"/>
      <c r="E143" s="4" t="s"/>
      <c r="F143" s="4" t="s"/>
    </row>
    <row r="144" spans="1:6" ht="22.9" customHeight="1">
      <c r="A144" s="5" t="s">
        <v>111</v>
      </c>
      <c r="B144" s="5" t="s"/>
      <c r="C144" s="5" t="s"/>
      <c r="D144" s="5" t="s"/>
      <c r="E144" s="5" t="s"/>
      <c r="F144" s="5" t="s"/>
    </row>
    <row r="145" spans="1:6" ht="22.9" customHeight="1">
      <c r="A145" s="6" t="s">
        <v>3</v>
      </c>
      <c r="B145" s="6" t="s"/>
      <c r="C145" s="6" t="s">
        <v>51</v>
      </c>
      <c r="D145" s="6" t="s"/>
      <c r="E145" s="6" t="s"/>
      <c r="F145" s="6" t="s"/>
    </row>
    <row r="146" spans="1:6" ht="22.9" customHeight="1">
      <c r="A146" s="6" t="s"/>
      <c r="B146" s="6" t="s"/>
      <c r="C146" s="6" t="s"/>
      <c r="D146" s="6" t="s"/>
      <c r="E146" s="6" t="s"/>
      <c r="F146" s="6" t="s"/>
    </row>
    <row r="147" spans="1:6" ht="22.9" customHeight="1">
      <c r="A147" s="80" t="s">
        <v>112</v>
      </c>
      <c r="B147" s="80" t="s"/>
      <c r="C147" s="80" t="s"/>
      <c r="D147" s="80" t="s"/>
      <c r="E147" s="80" t="s"/>
      <c r="F147" s="6" t="s"/>
    </row>
    <row r="148" spans="1:6" ht="24" customHeight="1">
      <c r="A148" s="12" t="s">
        <v>6</v>
      </c>
      <c r="B148" s="12" t="s">
        <v>8</v>
      </c>
      <c r="C148" s="12" t="s">
        <v>113</v>
      </c>
      <c r="D148" s="12" t="s">
        <v>75</v>
      </c>
      <c r="E148" s="12" t="s">
        <v>73</v>
      </c>
      <c r="F148" s="6" t="s"/>
    </row>
    <row r="149" spans="1:6" ht="22.9" customHeight="1">
      <c r="A149" s="9" t="s">
        <v>114</v>
      </c>
      <c r="B149" s="29">
        <v>1</v>
      </c>
      <c r="C149" s="30">
        <v>113.635</v>
      </c>
      <c r="D149" s="30">
        <v>159.17</v>
      </c>
      <c r="E149" s="70">
        <f>=IF(AND(ISNUMBER(C149),ISNUMBER(D149),C149&gt;0),(C149-D149)/C149,"")</f>
        <v>-0.400712808553703</v>
      </c>
      <c r="F149" s="79" t="s"/>
    </row>
    <row r="150" spans="1:6" ht="22.9" customHeight="1">
      <c r="A150" s="9" t="s"/>
      <c r="B150" s="29">
        <v>2</v>
      </c>
      <c r="C150" s="30">
        <v>173.762</v>
      </c>
      <c r="D150" s="30">
        <v>267.23</v>
      </c>
      <c r="E150" s="70">
        <f>=IF(AND(ISNUMBER(C150),ISNUMBER(D150),C150&gt;0),(C150-D150)/C150,"")</f>
        <v>-0.537908173248467</v>
      </c>
      <c r="F150" s="79" t="s"/>
    </row>
    <row r="151" spans="1:6" ht="22.9" customHeight="1">
      <c r="A151" s="9" t="s"/>
      <c r="B151" s="29">
        <v>4</v>
      </c>
      <c r="C151" s="30">
        <v>173.756</v>
      </c>
      <c r="D151" s="30">
        <v>269.17</v>
      </c>
      <c r="E151" s="70">
        <f>=IF(AND(ISNUMBER(C151),ISNUMBER(D151),C151&gt;0),(C151-D151)/C151,"")</f>
        <v>-0.549126361104077</v>
      </c>
      <c r="F151" s="79" t="s"/>
    </row>
    <row r="152" spans="1:6" ht="22.9" customHeight="1">
      <c r="A152" s="9" t="s"/>
      <c r="B152" s="29">
        <v>8</v>
      </c>
      <c r="C152" s="30">
        <v>176.579</v>
      </c>
      <c r="D152" s="30">
        <v>272.14</v>
      </c>
      <c r="E152" s="70">
        <f>=IF(AND(ISNUMBER(C152),ISNUMBER(D152),C152&gt;0),(C152-D152)/C152,"")</f>
        <v>-0.541179868500784</v>
      </c>
      <c r="F152" s="79" t="s"/>
    </row>
    <row r="153" spans="1:6" ht="22.9" customHeight="1">
      <c r="A153" s="9" t="s"/>
      <c r="B153" s="29">
        <v>16</v>
      </c>
      <c r="C153" s="30">
        <v>189.79</v>
      </c>
      <c r="D153" s="30">
        <v>276.1</v>
      </c>
      <c r="E153" s="70">
        <f>=IF(AND(ISNUMBER(C153),ISNUMBER(D153),C153&gt;0),(C153-D153)/C153,"")</f>
        <v>-0.454765793772064</v>
      </c>
      <c r="F153" s="79" t="s"/>
    </row>
    <row r="154" spans="1:6" ht="22.9" customHeight="1">
      <c r="A154" s="9" t="s"/>
      <c r="B154" s="29">
        <v>32</v>
      </c>
      <c r="C154" s="30">
        <v>209.046</v>
      </c>
      <c r="D154" s="30">
        <v>283.07</v>
      </c>
      <c r="E154" s="70">
        <f>=IF(AND(ISNUMBER(C154),ISNUMBER(D154),C154&gt;0),(C154-D154)/C154,"")</f>
        <v>-0.354103881442362</v>
      </c>
      <c r="F154" s="79" t="s"/>
    </row>
    <row r="155" spans="1:6" ht="22.9" customHeight="1">
      <c r="A155" s="9" t="s"/>
      <c r="B155" s="29">
        <v>48</v>
      </c>
      <c r="C155" s="30">
        <v>230.822</v>
      </c>
      <c r="D155" s="30">
        <v>290.867</v>
      </c>
      <c r="E155" s="70">
        <f>=IF(AND(ISNUMBER(C155),ISNUMBER(D155),C155&gt;0),(C155-D155)/C155,"")</f>
        <v>-0.260135515678748</v>
      </c>
      <c r="F155" s="79" t="s"/>
    </row>
    <row r="156" spans="1:6" ht="22.9" customHeight="1">
      <c r="A156" s="9" t="s"/>
      <c r="B156" s="29">
        <v>64</v>
      </c>
      <c r="C156" s="30">
        <v>243.2</v>
      </c>
      <c r="D156" s="30">
        <v>300.04</v>
      </c>
      <c r="E156" s="70">
        <f>=IF(AND(ISNUMBER(C156),ISNUMBER(D156),C156&gt;0),(C156-D156)/C156,"")</f>
        <v>-0.233717105263158</v>
      </c>
      <c r="F156" s="79" t="s"/>
    </row>
    <row r="157" spans="1:6" ht="22.9" customHeight="1">
      <c r="A157" s="9" t="s"/>
      <c r="B157" s="81">
        <v>96</v>
      </c>
      <c r="C157" s="30">
        <v>271.9</v>
      </c>
      <c r="D157" s="30">
        <v>305.376</v>
      </c>
      <c r="E157" s="70">
        <f>=IF(AND(ISNUMBER(C157),ISNUMBER(D157),C157&gt;0),(C157-D157)/C157,"")</f>
        <v>-0.123118793674145</v>
      </c>
      <c r="F157" s="79" t="s"/>
    </row>
    <row r="158" spans="1:6" ht="22.9" customHeight="1">
      <c r="A158" s="9" t="s"/>
      <c r="B158" s="29">
        <v>128</v>
      </c>
      <c r="C158" s="30">
        <v>319.882</v>
      </c>
      <c r="D158" s="30">
        <v>323.51</v>
      </c>
      <c r="E158" s="70">
        <f>=IF(AND(ISNUMBER(C158),ISNUMBER(D158),C158&gt;0),(C158-D158)/C158,"")</f>
        <v>-0.0113416822453279</v>
      </c>
      <c r="F158" s="79" t="s"/>
    </row>
    <row r="159" spans="1:6" ht="22.9" customHeight="1">
      <c r="A159" s="9" t="s"/>
      <c r="B159" s="29">
        <v>192</v>
      </c>
      <c r="C159" s="30">
        <v>398.818</v>
      </c>
      <c r="D159" s="30">
        <v>353.19</v>
      </c>
      <c r="E159" s="70">
        <f>=IF(AND(ISNUMBER(C159),ISNUMBER(D159),C159&gt;0),(C159-D159)/C159,"")</f>
        <v>0.114408075864179</v>
      </c>
      <c r="F159" s="79" t="s"/>
    </row>
    <row r="160" spans="1:6" ht="22.9" customHeight="1">
      <c r="A160" s="9" t="s"/>
      <c r="B160" s="29">
        <v>256</v>
      </c>
      <c r="C160" s="30">
        <v>520.038</v>
      </c>
      <c r="D160" s="30">
        <v>426.293</v>
      </c>
      <c r="E160" s="70">
        <f>=IF(AND(ISNUMBER(C160),ISNUMBER(D160),C160&gt;0),(C160-D160)/C160,"")</f>
        <v>0.180265672893135</v>
      </c>
      <c r="F160" s="79" t="s"/>
    </row>
    <row r="161" spans="1:6" ht="31.9" customHeight="1">
      <c r="A161" s="73" t="s">
        <v>88</v>
      </c>
      <c r="B161" s="73" t="s"/>
      <c r="C161" s="73" t="s"/>
      <c r="D161" s="73" t="s"/>
      <c r="E161" s="73" t="s"/>
      <c r="F161" s="73" t="s"/>
    </row>
    <row r="162" spans="1:6" ht="22.9" customHeight="1">
      <c r="A162" s="6" t="s"/>
      <c r="B162" s="6" t="s"/>
      <c r="C162" s="6" t="s"/>
      <c r="D162" s="6" t="s"/>
      <c r="E162" s="6" t="s"/>
      <c r="F162" s="6" t="s"/>
    </row>
    <row r="163" spans="1:6" ht="22.9" customHeight="1">
      <c r="A163" s="6" t="s"/>
      <c r="B163" s="6" t="s"/>
      <c r="C163" s="6" t="s"/>
      <c r="D163" s="6" t="s"/>
      <c r="E163" s="6" t="s"/>
      <c r="F163" s="6" t="s"/>
    </row>
    <row r="164" spans="1:6" ht="22.9" customHeight="1">
      <c r="A164" s="80" t="s">
        <v>115</v>
      </c>
      <c r="B164" s="80" t="s"/>
      <c r="C164" s="80" t="s"/>
      <c r="D164" s="80" t="s"/>
      <c r="E164" s="80" t="s"/>
      <c r="F164" s="6" t="s"/>
    </row>
    <row r="165" spans="1:11" ht="24" customHeight="1">
      <c r="A165" s="12" t="s">
        <v>6</v>
      </c>
      <c r="B165" s="12" t="s">
        <v>8</v>
      </c>
      <c r="C165" s="12" t="s">
        <v>52</v>
      </c>
      <c r="D165" s="12" t="s">
        <v>75</v>
      </c>
      <c r="E165" s="12" t="s">
        <v>73</v>
      </c>
      <c r="F165" s="7" t="s">
        <v>54</v>
      </c>
      <c r="G165" s="7" t="s">
        <v>55</v>
      </c>
      <c r="H165" s="7" t="s">
        <v>56</v>
      </c>
      <c r="I165" s="7" t="s">
        <v>57</v>
      </c>
      <c r="J165" s="7" t="s">
        <v>116</v>
      </c>
      <c r="K165" s="7" t="s">
        <v>59</v>
      </c>
    </row>
    <row r="166" spans="1:6" ht="22.9" customHeight="1">
      <c r="A166" s="9" t="s">
        <v>114</v>
      </c>
      <c r="B166" s="29">
        <v>1</v>
      </c>
      <c r="C166" s="30">
        <v>114.199</v>
      </c>
      <c r="D166" s="30">
        <v>165.157</v>
      </c>
      <c r="E166" s="70">
        <f>=IF(AND(ISNUMBER(C166),ISNUMBER(D166),C166&gt;0),(C166-D166)/C166,"")</f>
        <v>-0.446221070237043</v>
      </c>
      <c r="F166" s="79" t="s"/>
    </row>
    <row r="167" spans="1:6" ht="22.9" customHeight="1">
      <c r="A167" s="9" t="s"/>
      <c r="B167" s="29">
        <v>2</v>
      </c>
      <c r="C167" s="30">
        <v>119.851</v>
      </c>
      <c r="D167" s="30">
        <v>168.972</v>
      </c>
      <c r="E167" s="70">
        <f>=IF(AND(ISNUMBER(C167),ISNUMBER(D167),C167&gt;0),(C167-D167)/C167,"")</f>
        <v>-0.40985056445086</v>
      </c>
      <c r="F167" s="79" t="s"/>
    </row>
    <row r="168" spans="1:6" ht="22.9" customHeight="1">
      <c r="A168" s="9" t="s"/>
      <c r="B168" s="29">
        <v>4</v>
      </c>
      <c r="C168" s="30">
        <v>120.055</v>
      </c>
      <c r="D168" s="30">
        <v>170.89</v>
      </c>
      <c r="E168" s="70">
        <f>=IF(AND(ISNUMBER(C168),ISNUMBER(D168),C168&gt;0),(C168-D168)/C168,"")</f>
        <v>-0.423430927491566</v>
      </c>
      <c r="F168" s="79" t="s"/>
    </row>
    <row r="169" spans="1:6" ht="22.9" customHeight="1">
      <c r="A169" s="9" t="s"/>
      <c r="B169" s="29">
        <v>8</v>
      </c>
      <c r="C169" s="30">
        <v>123.164</v>
      </c>
      <c r="D169" s="30">
        <v>178.046</v>
      </c>
      <c r="E169" s="70">
        <f>=IF(AND(ISNUMBER(C169),ISNUMBER(D169),C169&gt;0),(C169-D169)/C169,"")</f>
        <v>-0.445600987301484</v>
      </c>
      <c r="F169" s="79" t="s"/>
    </row>
    <row r="170" spans="1:6" ht="22.9" customHeight="1">
      <c r="A170" s="9" t="s"/>
      <c r="B170" s="29">
        <v>16</v>
      </c>
      <c r="C170" s="30">
        <v>146.567</v>
      </c>
      <c r="D170" s="30">
        <v>181.12</v>
      </c>
      <c r="E170" s="70">
        <f>=IF(AND(ISNUMBER(C170),ISNUMBER(D170),C170&gt;0),(C170-D170)/C170,"")</f>
        <v>-0.235748838415196</v>
      </c>
      <c r="F170" s="79" t="s"/>
    </row>
    <row r="171" spans="1:6" ht="22.9" customHeight="1">
      <c r="A171" s="9" t="s"/>
      <c r="B171" s="29">
        <v>32</v>
      </c>
      <c r="C171" s="30">
        <v>172.118</v>
      </c>
      <c r="D171" s="30">
        <v>189.968</v>
      </c>
      <c r="E171" s="70">
        <f>=IF(AND(ISNUMBER(C171),ISNUMBER(D171),C171&gt;0),(C171-D171)/C171,"")</f>
        <v>-0.103707921309799</v>
      </c>
      <c r="F171" s="79" t="s"/>
    </row>
    <row r="172" spans="1:6" ht="22.9" customHeight="1">
      <c r="A172" s="9" t="s"/>
      <c r="B172" s="29">
        <v>48</v>
      </c>
      <c r="C172" s="30">
        <v>196.626</v>
      </c>
      <c r="D172" s="30">
        <v>194.387</v>
      </c>
      <c r="E172" s="70">
        <f>=IF(AND(ISNUMBER(C172),ISNUMBER(D172),C172&gt;0),(C172-D172)/C172,"")</f>
        <v>0.0113871003834691</v>
      </c>
      <c r="F172" s="79" t="s"/>
    </row>
    <row r="173" spans="1:6" ht="22.9" customHeight="1">
      <c r="A173" s="9" t="s"/>
      <c r="B173" s="82">
        <v>64</v>
      </c>
      <c r="C173" s="83">
        <v>221.615</v>
      </c>
      <c r="D173" s="83">
        <v>206.91</v>
      </c>
      <c r="E173" s="84">
        <f>=IF(AND(ISNUMBER(C173),ISNUMBER(D173),C173&gt;0),(C173-D173)/C173,"")</f>
        <v>0.0663538117907182</v>
      </c>
      <c r="F173" s="79" t="s"/>
    </row>
    <row r="174" spans="1:11" ht="22.9" customHeight="1">
      <c r="A174" s="9" t="s"/>
      <c r="B174" s="85">
        <v>96</v>
      </c>
      <c r="C174" s="83">
        <v>271.623</v>
      </c>
      <c r="D174" s="83">
        <v>224.594</v>
      </c>
      <c r="E174" s="84">
        <f>=IF(AND(ISNUMBER(C174),ISNUMBER(D174),C174&gt;0),(C174-D174)/C174,"")</f>
        <v>0.173140713415285</v>
      </c>
      <c r="F174" s="86" t="s">
        <v>178</v>
      </c>
      <c r="G174" s="86" t="s">
        <v>179</v>
      </c>
      <c r="H174" s="86" t="s">
        <v>180</v>
      </c>
      <c r="I174" s="13" t="s">
        <v>117</v>
      </c>
      <c r="K174" s="86" t="s">
        <v>181</v>
      </c>
    </row>
    <row r="175" spans="1:6" ht="22.9" customHeight="1">
      <c r="A175" s="9" t="s"/>
      <c r="B175" s="82">
        <v>128</v>
      </c>
      <c r="C175" s="83">
        <v>343.705</v>
      </c>
      <c r="D175" s="83">
        <v>269.159</v>
      </c>
      <c r="E175" s="84">
        <f>=IF(AND(ISNUMBER(C175),ISNUMBER(D175),C175&gt;0),(C175-D175)/C175,"")</f>
        <v>0.216889483714232</v>
      </c>
      <c r="F175" s="79" t="s"/>
    </row>
    <row r="176" spans="1:6" ht="22.9" customHeight="1">
      <c r="A176" s="9" t="s"/>
      <c r="B176" s="82">
        <v>192</v>
      </c>
      <c r="C176" s="83">
        <v>472.514</v>
      </c>
      <c r="D176" s="83">
        <v>354.543</v>
      </c>
      <c r="E176" s="84">
        <f>=IF(AND(ISNUMBER(C176),ISNUMBER(D176),C176&gt;0),(C176-D176)/C176,"")</f>
        <v>0.249666676542917</v>
      </c>
      <c r="F176" s="79" t="s"/>
    </row>
    <row r="177" spans="1:6" ht="22.9" customHeight="1">
      <c r="A177" s="9" t="s"/>
      <c r="B177" s="82">
        <v>256</v>
      </c>
      <c r="C177" s="83">
        <v>616.649</v>
      </c>
      <c r="D177" s="83">
        <v>444.759</v>
      </c>
      <c r="E177" s="84">
        <f>=IF(AND(ISNUMBER(C177),ISNUMBER(D177),C177&gt;0),(C177-D177)/C177,"")</f>
        <v>0.278748526309132</v>
      </c>
      <c r="F177" s="79" t="s"/>
    </row>
    <row r="178" spans="1:6" ht="31.9" customHeight="1">
      <c r="A178" s="73" t="s">
        <v>88</v>
      </c>
      <c r="B178" s="73" t="s"/>
      <c r="C178" s="73" t="s"/>
      <c r="D178" s="73" t="s"/>
      <c r="E178" s="73" t="s"/>
      <c r="F178" s="73" t="s"/>
    </row>
    <row r="179" spans="1:6" ht="22.9" customHeight="1">
      <c r="A179" s="6" t="s"/>
      <c r="B179" s="6" t="s"/>
      <c r="C179" s="6" t="s"/>
      <c r="D179" s="6" t="s"/>
      <c r="E179" s="6" t="s"/>
      <c r="F179" s="6" t="s"/>
    </row>
    <row r="180" spans="1:6" ht="22.9" customHeight="1">
      <c r="A180" s="6" t="s"/>
      <c r="B180" s="6" t="s"/>
      <c r="C180" s="6" t="s"/>
      <c r="D180" s="6" t="s"/>
      <c r="E180" s="6" t="s"/>
      <c r="F180" s="6" t="s"/>
    </row>
    <row r="181" spans="1:6" ht="22.9" customHeight="1">
      <c r="A181" s="12" t="s">
        <v>118</v>
      </c>
      <c r="B181" s="12" t="s"/>
      <c r="C181" s="12" t="s"/>
      <c r="D181" s="12" t="s"/>
      <c r="E181" s="12" t="s"/>
      <c r="F181" s="6" t="s"/>
    </row>
    <row r="182" spans="1:6" ht="24" customHeight="1">
      <c r="A182" s="12" t="s">
        <v>6</v>
      </c>
      <c r="B182" s="12" t="s">
        <v>8</v>
      </c>
      <c r="C182" s="12" t="s">
        <v>52</v>
      </c>
      <c r="D182" s="12" t="s">
        <v>75</v>
      </c>
      <c r="E182" s="12" t="s">
        <v>73</v>
      </c>
      <c r="F182" s="6" t="s"/>
    </row>
    <row r="183" spans="1:6" ht="22.9" customHeight="1">
      <c r="A183" s="9" t="s">
        <v>114</v>
      </c>
      <c r="B183" s="29">
        <v>1</v>
      </c>
      <c r="C183" s="30">
        <v>85.573</v>
      </c>
      <c r="D183" s="30">
        <v>120.328</v>
      </c>
      <c r="E183" s="70">
        <f>=IF(AND(ISNUMBER(C183),ISNUMBER(D183),C183&gt;0),(C183-D183)/C183,"")</f>
        <v>-0.406144461453964</v>
      </c>
      <c r="F183" s="79" t="s"/>
    </row>
    <row r="184" spans="1:6" ht="22.9" customHeight="1">
      <c r="A184" s="9" t="s"/>
      <c r="B184" s="29">
        <v>2</v>
      </c>
      <c r="C184" s="30">
        <v>88.547</v>
      </c>
      <c r="D184" s="30">
        <v>124.806</v>
      </c>
      <c r="E184" s="70">
        <f>=IF(AND(ISNUMBER(C184),ISNUMBER(D184),C184&gt;0),(C184-D184)/C184,"")</f>
        <v>-0.409488746089647</v>
      </c>
      <c r="F184" s="79" t="s"/>
    </row>
    <row r="185" spans="1:6" ht="22.9" customHeight="1">
      <c r="A185" s="9" t="s"/>
      <c r="B185" s="29">
        <v>4</v>
      </c>
      <c r="C185" s="30">
        <v>90.133</v>
      </c>
      <c r="D185" s="30">
        <v>130.54</v>
      </c>
      <c r="E185" s="70">
        <f>=IF(AND(ISNUMBER(C185),ISNUMBER(D185),C185&gt;0),(C185-D185)/C185,"")</f>
        <v>-0.448304172722532</v>
      </c>
      <c r="F185" s="79" t="s"/>
    </row>
    <row r="186" spans="1:6" ht="22.9" customHeight="1">
      <c r="A186" s="9" t="s"/>
      <c r="B186" s="29">
        <v>8</v>
      </c>
      <c r="C186" s="30">
        <v>93.68</v>
      </c>
      <c r="D186" s="30">
        <v>134.112</v>
      </c>
      <c r="E186" s="70">
        <f>=IF(AND(ISNUMBER(C186),ISNUMBER(D186),C186&gt;0),(C186-D186)/C186,"")</f>
        <v>-0.431596925704526</v>
      </c>
      <c r="F186" s="79" t="s"/>
    </row>
    <row r="187" spans="1:6" ht="22.9" customHeight="1">
      <c r="A187" s="9" t="s"/>
      <c r="B187" s="29">
        <v>16</v>
      </c>
      <c r="C187" s="30">
        <v>107.559</v>
      </c>
      <c r="D187" s="30">
        <v>150.167</v>
      </c>
      <c r="E187" s="70">
        <f>=IF(AND(ISNUMBER(C187),ISNUMBER(D187),C187&gt;0),(C187-D187)/C187,"")</f>
        <v>-0.39613607415465</v>
      </c>
      <c r="F187" s="79" t="s"/>
    </row>
    <row r="188" spans="1:6" ht="22.9" customHeight="1">
      <c r="A188" s="9" t="s"/>
      <c r="B188" s="29">
        <v>32</v>
      </c>
      <c r="C188" s="30">
        <v>137.476</v>
      </c>
      <c r="D188" s="30">
        <v>160.704</v>
      </c>
      <c r="E188" s="70">
        <f>=IF(AND(ISNUMBER(C188),ISNUMBER(D188),C188&gt;0),(C188-D188)/C188,"")</f>
        <v>-0.16896040036079</v>
      </c>
      <c r="F188" s="79" t="s"/>
    </row>
    <row r="189" spans="1:6" ht="22.9" customHeight="1">
      <c r="A189" s="9" t="s"/>
      <c r="B189" s="29">
        <v>48</v>
      </c>
      <c r="C189" s="30">
        <v>167.476</v>
      </c>
      <c r="D189" s="30">
        <v>178.618</v>
      </c>
      <c r="E189" s="70">
        <f>=IF(AND(ISNUMBER(C189),ISNUMBER(D189),C189&gt;0),(C189-D189)/C189,"")</f>
        <v>-0.0665289354892641</v>
      </c>
      <c r="F189" s="79" t="s"/>
    </row>
    <row r="190" spans="1:6" ht="22.9" customHeight="1">
      <c r="A190" s="9" t="s"/>
      <c r="B190" s="29">
        <v>64</v>
      </c>
      <c r="C190" s="30">
        <v>197.632</v>
      </c>
      <c r="D190" s="30">
        <v>207.493</v>
      </c>
      <c r="E190" s="70">
        <f>=IF(AND(ISNUMBER(C190),ISNUMBER(D190),C190&gt;0),(C190-D190)/C190,"")</f>
        <v>-0.0498957658678756</v>
      </c>
      <c r="F190" s="79" t="s"/>
    </row>
    <row r="191" spans="1:11" ht="22.9" customHeight="1">
      <c r="A191" s="9" t="s"/>
      <c r="B191" s="81">
        <v>96</v>
      </c>
      <c r="C191" s="30">
        <v>271.523</v>
      </c>
      <c r="D191" s="30">
        <v>261.414</v>
      </c>
      <c r="E191" s="70">
        <f>=IF(AND(ISNUMBER(C191),ISNUMBER(D191),C191&gt;0),(C191-D191)/C191,"")</f>
        <v>0.0372307318348723</v>
      </c>
      <c r="F191" s="86" t="s">
        <v>182</v>
      </c>
      <c r="G191" s="86" t="s">
        <v>183</v>
      </c>
      <c r="H191" s="86" t="s">
        <v>184</v>
      </c>
      <c r="I191" s="13" t="s">
        <v>119</v>
      </c>
      <c r="K191" s="86" t="s">
        <v>185</v>
      </c>
    </row>
    <row r="192" spans="1:6" ht="22.9" customHeight="1">
      <c r="A192" s="9" t="s"/>
      <c r="B192" s="29">
        <v>128</v>
      </c>
      <c r="C192" s="30">
        <v>339.908</v>
      </c>
      <c r="D192" s="30">
        <v>337.678</v>
      </c>
      <c r="E192" s="70">
        <f>=IF(AND(ISNUMBER(C192),ISNUMBER(D192),C192&gt;0),(C192-D192)/C192,"")</f>
        <v>0.00656059875025012</v>
      </c>
      <c r="F192" s="79" t="s"/>
    </row>
    <row r="193" spans="1:6" ht="22.9" customHeight="1">
      <c r="A193" s="9" t="s"/>
      <c r="B193" s="29">
        <v>192</v>
      </c>
      <c r="C193" s="30">
        <v>544.06</v>
      </c>
      <c r="D193" s="30">
        <v>453.244</v>
      </c>
      <c r="E193" s="70">
        <f>=IF(AND(ISNUMBER(C193),ISNUMBER(D193),C193&gt;0),(C193-D193)/C193,"")</f>
        <v>0.166922765871411</v>
      </c>
      <c r="F193" s="79" t="s"/>
    </row>
    <row r="194" spans="1:6" ht="22.9" customHeight="1">
      <c r="A194" s="9" t="s"/>
      <c r="B194" s="29">
        <v>256</v>
      </c>
      <c r="C194" s="30">
        <v>703.795</v>
      </c>
      <c r="D194" s="30">
        <v>536.537</v>
      </c>
      <c r="E194" s="70">
        <f>=IF(AND(ISNUMBER(C194),ISNUMBER(D194),C194&gt;0),(C194-D194)/C194,"")</f>
        <v>0.237651588885968</v>
      </c>
      <c r="F194" s="79" t="s"/>
    </row>
    <row r="195" spans="1:6" ht="31.9" customHeight="1">
      <c r="A195" s="73" t="s">
        <v>88</v>
      </c>
      <c r="B195" s="73" t="s"/>
      <c r="C195" s="73" t="s"/>
      <c r="D195" s="73" t="s"/>
      <c r="E195" s="73" t="s"/>
      <c r="F195" s="73" t="s"/>
    </row>
    <row r="196" spans="1:6" ht="22.9" customHeight="1">
      <c r="A196" s="6" t="s"/>
      <c r="B196" s="6" t="s"/>
      <c r="C196" s="6" t="s"/>
      <c r="D196" s="6" t="s"/>
      <c r="E196" s="6" t="s"/>
      <c r="F196" s="6" t="s"/>
    </row>
    <row r="197" spans="1:6" ht="22.9" customHeight="1">
      <c r="A197" s="6" t="s"/>
      <c r="B197" s="6" t="s"/>
      <c r="C197" s="6" t="s"/>
      <c r="D197" s="6" t="s"/>
      <c r="E197" s="6" t="s"/>
      <c r="F197" s="6" t="s"/>
    </row>
    <row r="198" spans="1:6" ht="22.9" customHeight="1">
      <c r="A198" s="12" t="s">
        <v>120</v>
      </c>
      <c r="B198" s="12" t="s"/>
      <c r="C198" s="12" t="s"/>
      <c r="D198" s="12" t="s"/>
      <c r="E198" s="12" t="s"/>
      <c r="F198" s="6" t="s"/>
    </row>
    <row r="199" spans="1:6" ht="24" customHeight="1">
      <c r="A199" s="12" t="s">
        <v>6</v>
      </c>
      <c r="B199" s="12" t="s">
        <v>8</v>
      </c>
      <c r="C199" s="12" t="s">
        <v>52</v>
      </c>
      <c r="D199" s="12" t="s">
        <v>75</v>
      </c>
      <c r="E199" s="12" t="s">
        <v>73</v>
      </c>
      <c r="F199" s="6" t="s"/>
    </row>
    <row r="200" spans="1:6" ht="22.9" customHeight="1">
      <c r="A200" s="9" t="s">
        <v>121</v>
      </c>
      <c r="B200" s="29">
        <v>1</v>
      </c>
      <c r="C200" s="30">
        <v>73.101</v>
      </c>
      <c r="D200" s="30">
        <v>125.943</v>
      </c>
      <c r="E200" s="70">
        <f>=IF(AND(ISNUMBER(C200),ISNUMBER(D200),C200&gt;0),(C200-D200)/C200,"")</f>
        <v>-0.722862888332581</v>
      </c>
      <c r="F200" s="79" t="s"/>
    </row>
    <row r="201" spans="1:6" ht="22.9" customHeight="1">
      <c r="A201" s="9" t="s"/>
      <c r="B201" s="29">
        <v>2</v>
      </c>
      <c r="C201" s="30">
        <v>76.144</v>
      </c>
      <c r="D201" s="30">
        <v>128.149</v>
      </c>
      <c r="E201" s="70">
        <f>=IF(AND(ISNUMBER(C201),ISNUMBER(D201),C201&gt;0),(C201-D201)/C201,"")</f>
        <v>-0.682982244168943</v>
      </c>
      <c r="F201" s="79" t="s"/>
    </row>
    <row r="202" spans="1:6" ht="22.9" customHeight="1">
      <c r="A202" s="9" t="s"/>
      <c r="B202" s="29">
        <v>4</v>
      </c>
      <c r="C202" s="30">
        <v>76.99</v>
      </c>
      <c r="D202" s="30">
        <v>131.607</v>
      </c>
      <c r="E202" s="70">
        <f>=IF(AND(ISNUMBER(C202),ISNUMBER(D202),C202&gt;0),(C202-D202)/C202,"")</f>
        <v>-0.709403818677751</v>
      </c>
      <c r="F202" s="79" t="s"/>
    </row>
    <row r="203" spans="1:6" ht="22.9" customHeight="1">
      <c r="A203" s="9" t="s"/>
      <c r="B203" s="29">
        <v>8</v>
      </c>
      <c r="C203" s="30">
        <v>88.095</v>
      </c>
      <c r="D203" s="30">
        <v>135.897</v>
      </c>
      <c r="E203" s="70">
        <f>=IF(AND(ISNUMBER(C203),ISNUMBER(D203),C203&gt;0),(C203-D203)/C203,"")</f>
        <v>-0.542618763834497</v>
      </c>
      <c r="F203" s="79" t="s"/>
    </row>
    <row r="204" spans="1:6" ht="22.9" customHeight="1">
      <c r="A204" s="9" t="s"/>
      <c r="B204" s="29">
        <v>16</v>
      </c>
      <c r="C204" s="30">
        <v>99.98</v>
      </c>
      <c r="D204" s="30">
        <v>145.349</v>
      </c>
      <c r="E204" s="70">
        <f>=IF(AND(ISNUMBER(C204),ISNUMBER(D204),C204&gt;0),(C204-D204)/C204,"")</f>
        <v>-0.45378075615123</v>
      </c>
      <c r="F204" s="79" t="s"/>
    </row>
    <row r="205" spans="1:6" ht="22.9" customHeight="1">
      <c r="A205" s="9" t="s"/>
      <c r="B205" s="29">
        <v>32</v>
      </c>
      <c r="C205" s="30">
        <v>141.408</v>
      </c>
      <c r="D205" s="30">
        <v>174.669</v>
      </c>
      <c r="E205" s="70">
        <f>=IF(AND(ISNUMBER(C205),ISNUMBER(D205),C205&gt;0),(C205-D205)/C205,"")</f>
        <v>-0.235213000678887</v>
      </c>
      <c r="F205" s="79" t="s"/>
    </row>
    <row r="206" spans="1:6" ht="22.9" customHeight="1">
      <c r="A206" s="9" t="s"/>
      <c r="B206" s="29">
        <v>48</v>
      </c>
      <c r="C206" s="30">
        <v>185.964</v>
      </c>
      <c r="D206" s="30">
        <v>200.381</v>
      </c>
      <c r="E206" s="70">
        <f>=IF(AND(ISNUMBER(C206),ISNUMBER(D206),C206&gt;0),(C206-D206)/C206,"")</f>
        <v>-0.0775257576735282</v>
      </c>
      <c r="F206" s="79" t="s"/>
    </row>
    <row r="207" spans="1:6" ht="22.9" customHeight="1">
      <c r="A207" s="9" t="s"/>
      <c r="B207" s="29">
        <v>64</v>
      </c>
      <c r="C207" s="30">
        <v>227.139</v>
      </c>
      <c r="D207" s="30">
        <v>230.253</v>
      </c>
      <c r="E207" s="70">
        <f>=IF(AND(ISNUMBER(C207),ISNUMBER(D207),C207&gt;0),(C207-D207)/C207,"")</f>
        <v>-0.0137096667679261</v>
      </c>
      <c r="F207" s="79" t="s"/>
    </row>
    <row r="208" spans="1:6" ht="22.9" customHeight="1">
      <c r="A208" s="9" t="s"/>
      <c r="B208" s="81">
        <v>96</v>
      </c>
      <c r="C208" s="30">
        <v>294.397</v>
      </c>
      <c r="D208" s="30">
        <v>332.272</v>
      </c>
      <c r="E208" s="70">
        <f>=IF(AND(ISNUMBER(C208),ISNUMBER(D208),C208&gt;0),(C208-D208)/C208,"")</f>
        <v>-0.128652805565274</v>
      </c>
      <c r="F208" s="79" t="s"/>
    </row>
    <row r="209" spans="1:6" ht="22.9" customHeight="1">
      <c r="A209" s="9" t="s"/>
      <c r="B209" s="29">
        <v>128</v>
      </c>
      <c r="C209" s="30">
        <v>369.723</v>
      </c>
      <c r="D209" s="30">
        <v>384.753</v>
      </c>
      <c r="E209" s="70">
        <f>=IF(AND(ISNUMBER(C209),ISNUMBER(D209),C209&gt;0),(C209-D209)/C209,"")</f>
        <v>-0.0406520557282073</v>
      </c>
      <c r="F209" s="79" t="s"/>
    </row>
    <row r="210" spans="1:6" ht="22.9" customHeight="1">
      <c r="A210" s="9" t="s"/>
      <c r="B210" s="29">
        <v>192</v>
      </c>
      <c r="C210" s="30">
        <v>504.613</v>
      </c>
      <c r="D210" s="30">
        <v>519.572</v>
      </c>
      <c r="E210" s="70">
        <f>=IF(AND(ISNUMBER(C210),ISNUMBER(D210),C210&gt;0),(C210-D210)/C210,"")</f>
        <v>-0.0296444998444353</v>
      </c>
      <c r="F210" s="79" t="s"/>
    </row>
    <row r="211" spans="1:6" ht="22.9" customHeight="1">
      <c r="A211" s="9" t="s"/>
      <c r="B211" s="29">
        <v>256</v>
      </c>
      <c r="C211" s="30">
        <v>690.218</v>
      </c>
      <c r="D211" s="30">
        <v>647.295</v>
      </c>
      <c r="E211" s="70">
        <f>=IF(AND(ISNUMBER(C211),ISNUMBER(D211),C211&gt;0),(C211-D211)/C211,"")</f>
        <v>0.0621875987007004</v>
      </c>
      <c r="F211" s="79" t="s"/>
    </row>
    <row r="212" spans="1:6" ht="31.9" customHeight="1">
      <c r="A212" s="73" t="s">
        <v>88</v>
      </c>
      <c r="B212" s="73" t="s"/>
      <c r="C212" s="73" t="s"/>
      <c r="D212" s="73" t="s"/>
      <c r="E212" s="73" t="s"/>
      <c r="F212" s="73" t="s"/>
    </row>
    <row r="214" spans="1:6" hidden="1">
      <c r="A214" s="87" t="s"/>
      <c r="B214" s="88" t="s"/>
      <c r="C214" s="89" t="s"/>
      <c r="D214" s="89" t="s"/>
      <c r="E214" s="79" t="s"/>
      <c r="F214" s="79" t="s"/>
    </row>
    <row r="215" spans="1:11" hidden="1">
      <c r="A215" s="87" t="s">
        <v>122</v>
      </c>
      <c r="B215" s="87" t="s"/>
      <c r="C215" s="87" t="s"/>
      <c r="D215" s="87" t="s"/>
      <c r="E215" s="87" t="s"/>
      <c r="F215" s="87" t="s"/>
      <c r="G215" s="87" t="s"/>
      <c r="H215" s="87" t="s"/>
      <c r="I215" s="87" t="s"/>
      <c r="J215" s="87" t="s"/>
      <c r="K215" s="87" t="s"/>
    </row>
    <row r="216" spans="1:11" hidden="1">
      <c r="A216" s="90" t="s">
        <v>6</v>
      </c>
      <c r="B216" s="91" t="s"/>
      <c r="C216" s="91" t="s"/>
      <c r="D216" s="92" t="s"/>
      <c r="E216" s="93" t="s">
        <v>123</v>
      </c>
      <c r="F216" s="93" t="s"/>
      <c r="G216" s="90" t="s">
        <v>124</v>
      </c>
      <c r="H216" s="76" t="s"/>
      <c r="I216" s="92" t="s">
        <v>75</v>
      </c>
      <c r="J216" s="93" t="s"/>
      <c r="K216" s="93" t="s"/>
    </row>
    <row r="217" spans="1:11" hidden="1">
      <c r="A217" s="30" t="s">
        <v>125</v>
      </c>
      <c r="B217" s="30" t="s">
        <v>126</v>
      </c>
      <c r="C217" s="30" t="s">
        <v>127</v>
      </c>
      <c r="D217" s="30" t="s">
        <v>128</v>
      </c>
      <c r="E217" s="30" t="s">
        <v>129</v>
      </c>
      <c r="F217" s="30" t="s"/>
      <c r="G217" s="94" t="s"/>
      <c r="H217" s="76" t="s"/>
      <c r="I217" s="95" t="s">
        <v>129</v>
      </c>
      <c r="J217" s="96" t="s">
        <v>73</v>
      </c>
      <c r="K217" s="30" t="s"/>
    </row>
    <row r="218" spans="1:11" hidden="1">
      <c r="A218" s="30">
        <v>96</v>
      </c>
      <c r="B218" s="30">
        <v>5120</v>
      </c>
      <c r="C218" s="30">
        <v>2304</v>
      </c>
      <c r="D218" s="30">
        <v>64</v>
      </c>
      <c r="E218" s="30">
        <v>138.04</v>
      </c>
      <c r="F218" s="30" t="s"/>
      <c r="G218" s="94">
        <v>194.56</v>
      </c>
      <c r="H218" s="76" t="s"/>
      <c r="I218" s="95">
        <v>201.1</v>
      </c>
      <c r="J218" s="70">
        <f>=IF(AND(ISNUMBER(E218),ISNUMBER(I218),E218&gt;0),(E218-I218)/E218,"")</f>
        <v>-0.456824108953927</v>
      </c>
      <c r="K218" s="30" t="s"/>
    </row>
    <row r="219" spans="1:11" hidden="1">
      <c r="A219" s="30">
        <v>96</v>
      </c>
      <c r="B219" s="30">
        <v>5120</v>
      </c>
      <c r="C219" s="30">
        <v>2304</v>
      </c>
      <c r="D219" s="30">
        <v>256</v>
      </c>
      <c r="E219" s="30">
        <v>223.26</v>
      </c>
      <c r="F219" s="30" t="s"/>
      <c r="G219" s="94">
        <v>297.48</v>
      </c>
      <c r="H219" s="76" t="s"/>
      <c r="I219" s="95">
        <v>304.6</v>
      </c>
      <c r="J219" s="70">
        <f>=IF(AND(ISNUMBER(E219),ISNUMBER(I219),E219&gt;0),(E219-I219)/E219,"")</f>
        <v>-0.364328585505689</v>
      </c>
      <c r="K219" s="30" t="s"/>
    </row>
    <row r="220" spans="1:11" hidden="1">
      <c r="A220" s="30">
        <v>96</v>
      </c>
      <c r="B220" s="30">
        <v>7168</v>
      </c>
      <c r="C220" s="30">
        <v>3072</v>
      </c>
      <c r="D220" s="30">
        <v>64</v>
      </c>
      <c r="E220" s="30">
        <v>223.26</v>
      </c>
      <c r="F220" s="30" t="s"/>
      <c r="G220" s="94">
        <v>305.362</v>
      </c>
      <c r="H220" s="76" t="s"/>
      <c r="I220" s="95">
        <v>304.6</v>
      </c>
      <c r="J220" s="70">
        <f>=IF(AND(ISNUMBER(E220),ISNUMBER(I220),E220&gt;0),(E220-I220)/E220,"")</f>
        <v>-0.364328585505689</v>
      </c>
      <c r="K220" s="30" t="s"/>
    </row>
    <row r="221" spans="1:11" hidden="1">
      <c r="A221" s="30">
        <v>96</v>
      </c>
      <c r="B221" s="30">
        <v>7168</v>
      </c>
      <c r="C221" s="30">
        <v>3072</v>
      </c>
      <c r="D221" s="30">
        <v>256</v>
      </c>
      <c r="E221" s="30">
        <v>356.956</v>
      </c>
      <c r="F221" s="30" t="s"/>
      <c r="G221" s="94">
        <v>452.225</v>
      </c>
      <c r="H221" s="76" t="s"/>
      <c r="I221" s="95">
        <v>471.38</v>
      </c>
      <c r="J221" s="70">
        <f>=IF(AND(ISNUMBER(E221),ISNUMBER(I221),E221&gt;0),(E221-I221)/E221,"")</f>
        <v>-0.320554914331178</v>
      </c>
      <c r="K221" s="30" t="s"/>
    </row>
    <row r="222" spans="1:11" hidden="1">
      <c r="A222" s="30">
        <v>384</v>
      </c>
      <c r="B222" s="30">
        <v>5120</v>
      </c>
      <c r="C222" s="30">
        <v>2304</v>
      </c>
      <c r="D222" s="30">
        <v>4096</v>
      </c>
      <c r="E222" s="30">
        <v>2580.386</v>
      </c>
      <c r="F222" s="30" t="s"/>
      <c r="G222" s="94">
        <v>2890.566</v>
      </c>
      <c r="H222" s="76" t="s"/>
      <c r="I222" s="95">
        <v>3276.14</v>
      </c>
      <c r="J222" s="70">
        <f>=IF(AND(ISNUMBER(E222),ISNUMBER(I222),E222&gt;0),(E222-I222)/E222,"")</f>
        <v>-0.269631752768772</v>
      </c>
      <c r="K222" s="30" t="s"/>
    </row>
    <row r="223" spans="1:11" hidden="1">
      <c r="A223" s="30">
        <v>384</v>
      </c>
      <c r="B223" s="30">
        <v>5120</v>
      </c>
      <c r="C223" s="30">
        <v>2304</v>
      </c>
      <c r="D223" s="30">
        <v>16384</v>
      </c>
      <c r="E223" s="30">
        <v>9781.028</v>
      </c>
      <c r="F223" s="30" t="s"/>
      <c r="G223" s="94">
        <v>11615</v>
      </c>
      <c r="H223" s="76" t="s"/>
      <c r="I223" s="95">
        <v>11627.239</v>
      </c>
      <c r="J223" s="70">
        <f>=IF(AND(ISNUMBER(E223),ISNUMBER(I223),E223&gt;0),(E223-I223)/E223,"")</f>
        <v>-0.188754290448816</v>
      </c>
      <c r="K223" s="30" t="s"/>
    </row>
    <row r="224" spans="1:11" hidden="1">
      <c r="A224" s="30">
        <v>384</v>
      </c>
      <c r="B224" s="30">
        <v>7168</v>
      </c>
      <c r="C224" s="30">
        <v>3072</v>
      </c>
      <c r="D224" s="30">
        <v>4096</v>
      </c>
      <c r="E224" s="30">
        <v>4641.62</v>
      </c>
      <c r="F224" s="30" t="s"/>
      <c r="G224" s="94">
        <v>5234.837</v>
      </c>
      <c r="H224" s="76" t="s"/>
      <c r="I224" s="95">
        <v>5830.3</v>
      </c>
      <c r="J224" s="70">
        <f>=IF(AND(ISNUMBER(E224),ISNUMBER(I224),E224&gt;0),(E224-I224)/E224,"")</f>
        <v>-0.256091623183285</v>
      </c>
      <c r="K224" s="30" t="s"/>
    </row>
    <row r="225" spans="1:11" hidden="1">
      <c r="A225" s="30">
        <v>384</v>
      </c>
      <c r="B225" s="30">
        <v>7168</v>
      </c>
      <c r="C225" s="30">
        <v>3072</v>
      </c>
      <c r="D225" s="30">
        <v>16384</v>
      </c>
      <c r="E225" s="30">
        <v>17904.2</v>
      </c>
      <c r="F225" s="30" t="s"/>
      <c r="G225" s="94">
        <v>20791</v>
      </c>
      <c r="H225" s="76" t="s"/>
      <c r="I225" s="95">
        <v>20950.51</v>
      </c>
      <c r="J225" s="70">
        <f>=IF(AND(ISNUMBER(E225),ISNUMBER(I225),E225&gt;0),(E225-I225)/E225,"")</f>
        <v>-0.170144993912043</v>
      </c>
      <c r="K225" s="30" t="s"/>
    </row>
    <row r="227" spans="1:11">
      <c r="A227" s="89" t="s"/>
      <c r="B227" s="89" t="s"/>
      <c r="C227" s="89" t="s"/>
      <c r="D227" s="89" t="s"/>
      <c r="E227" s="89" t="s"/>
      <c r="F227" s="89" t="s"/>
      <c r="G227" s="89" t="s"/>
      <c r="H227" s="76" t="s"/>
      <c r="I227" s="89" t="s"/>
      <c r="J227" s="89" t="s"/>
      <c r="K227" s="89" t="s"/>
    </row>
    <row r="228" spans="1:11">
      <c r="A228" s="12" t="s">
        <v>130</v>
      </c>
      <c r="B228" s="12" t="s"/>
      <c r="C228" s="12" t="s"/>
      <c r="D228" s="12" t="s"/>
      <c r="E228" s="12" t="s"/>
      <c r="F228" s="89" t="s"/>
      <c r="G228" s="89" t="s"/>
      <c r="H228" s="76" t="s"/>
      <c r="I228" s="89" t="s"/>
      <c r="J228" s="97" t="s"/>
      <c r="K228" s="89" t="s"/>
    </row>
    <row r="229" spans="1:11">
      <c r="A229" s="12" t="s">
        <v>6</v>
      </c>
      <c r="B229" s="12" t="s">
        <v>8</v>
      </c>
      <c r="C229" s="12" t="s">
        <v>52</v>
      </c>
      <c r="D229" s="12" t="s">
        <v>75</v>
      </c>
      <c r="E229" s="12" t="s">
        <v>73</v>
      </c>
      <c r="F229" s="89" t="s"/>
      <c r="G229" s="89" t="s"/>
      <c r="H229" s="76" t="s"/>
      <c r="I229" s="89" t="s"/>
      <c r="J229" s="79" t="s"/>
      <c r="K229" s="89" t="s"/>
    </row>
    <row r="230" spans="1:11">
      <c r="A230" s="9" t="s">
        <v>131</v>
      </c>
      <c r="B230" s="29">
        <v>1</v>
      </c>
      <c r="C230" s="30">
        <v>75.94</v>
      </c>
      <c r="D230" s="30">
        <v>129.947</v>
      </c>
      <c r="E230" s="70">
        <f>=IF(AND(ISNUMBER(C230),ISNUMBER(D230),C230&gt;0),(C230-D230)/C230,"")</f>
        <v>-0.711179878851725</v>
      </c>
      <c r="F230" s="89" t="s"/>
      <c r="G230" s="89" t="s"/>
      <c r="H230" s="76" t="s"/>
      <c r="I230" s="89" t="s"/>
      <c r="J230" s="79" t="s"/>
      <c r="K230" s="89" t="s"/>
    </row>
    <row r="231" spans="1:11">
      <c r="A231" s="9" t="s"/>
      <c r="B231" s="29">
        <v>2</v>
      </c>
      <c r="C231" s="30">
        <v>77.993</v>
      </c>
      <c r="D231" s="30">
        <v>138.1</v>
      </c>
      <c r="E231" s="70">
        <f>=IF(AND(ISNUMBER(C231),ISNUMBER(D231),C231&gt;0),(C231-D231)/C231,"")</f>
        <v>-0.770671726949855</v>
      </c>
      <c r="F231" s="89" t="s"/>
      <c r="G231" s="89" t="s"/>
      <c r="H231" s="76" t="s"/>
      <c r="I231" s="89" t="s"/>
      <c r="J231" s="79" t="s"/>
      <c r="K231" s="89" t="s"/>
    </row>
    <row r="232" spans="1:11">
      <c r="A232" s="9" t="s"/>
      <c r="B232" s="29">
        <v>4</v>
      </c>
      <c r="C232" s="30">
        <v>81.582</v>
      </c>
      <c r="D232" s="30">
        <v>142.764</v>
      </c>
      <c r="E232" s="70">
        <f>=IF(AND(ISNUMBER(C232),ISNUMBER(D232),C232&gt;0),(C232-D232)/C232,"")</f>
        <v>-0.749944840773701</v>
      </c>
      <c r="F232" s="89" t="s"/>
      <c r="G232" s="89" t="s"/>
      <c r="H232" s="76" t="s"/>
      <c r="I232" s="89" t="s"/>
      <c r="J232" s="79" t="s"/>
      <c r="K232" s="89" t="s"/>
    </row>
    <row r="233" spans="1:11">
      <c r="A233" s="9" t="s"/>
      <c r="B233" s="29">
        <v>8</v>
      </c>
      <c r="C233" s="30">
        <v>100.789</v>
      </c>
      <c r="D233" s="30">
        <v>150.782</v>
      </c>
      <c r="E233" s="70">
        <f>=IF(AND(ISNUMBER(C233),ISNUMBER(D233),C233&gt;0),(C233-D233)/C233,"")</f>
        <v>-0.496016430364425</v>
      </c>
      <c r="F233" s="89" t="s"/>
      <c r="G233" s="89" t="s"/>
      <c r="H233" s="76" t="s"/>
      <c r="I233" s="89" t="s"/>
      <c r="J233" s="79" t="s"/>
      <c r="K233" s="89" t="s"/>
    </row>
    <row r="234" spans="1:11">
      <c r="A234" s="9" t="s"/>
      <c r="B234" s="29">
        <v>16</v>
      </c>
      <c r="C234" s="30">
        <v>117.254</v>
      </c>
      <c r="D234" s="30">
        <v>171.266</v>
      </c>
      <c r="E234" s="70">
        <f>=IF(AND(ISNUMBER(C234),ISNUMBER(D234),C234&gt;0),(C234-D234)/C234,"")</f>
        <v>-0.4606410015863</v>
      </c>
      <c r="F234" s="89" t="s"/>
      <c r="G234" s="89" t="s"/>
      <c r="H234" s="76" t="s"/>
      <c r="I234" s="89" t="s"/>
      <c r="J234" s="79" t="s"/>
      <c r="K234" s="89" t="s"/>
    </row>
    <row r="235" spans="1:11">
      <c r="A235" s="9" t="s"/>
      <c r="B235" s="29">
        <v>32</v>
      </c>
      <c r="C235" s="30">
        <v>197.141</v>
      </c>
      <c r="D235" s="30">
        <v>200.969</v>
      </c>
      <c r="E235" s="70">
        <f>=IF(AND(ISNUMBER(C235),ISNUMBER(D235),C235&gt;0),(C235-D235)/C235,"")</f>
        <v>-0.0194175742235253</v>
      </c>
      <c r="F235" s="89" t="s"/>
      <c r="G235" s="89" t="s"/>
      <c r="H235" s="76" t="s"/>
      <c r="I235" s="89" t="s"/>
      <c r="J235" s="79" t="s"/>
      <c r="K235" s="89" t="s"/>
    </row>
    <row r="236" spans="1:11">
      <c r="A236" s="9" t="s"/>
      <c r="B236" s="29">
        <v>48</v>
      </c>
      <c r="C236" s="30">
        <v>262.371</v>
      </c>
      <c r="D236" s="30">
        <v>243.891</v>
      </c>
      <c r="E236" s="70">
        <f>=IF(AND(ISNUMBER(C236),ISNUMBER(D236),C236&gt;0),(C236-D236)/C236,"")</f>
        <v>0.0704346135815315</v>
      </c>
      <c r="F236" s="89" t="s"/>
      <c r="G236" s="89" t="s"/>
      <c r="H236" s="76" t="s"/>
      <c r="I236" s="89" t="s"/>
      <c r="J236" s="79" t="s"/>
      <c r="K236" s="89" t="s"/>
    </row>
    <row r="237" spans="1:11">
      <c r="A237" s="9" t="s"/>
      <c r="B237" s="29">
        <v>64</v>
      </c>
      <c r="C237" s="30">
        <v>320.845</v>
      </c>
      <c r="D237" s="30">
        <v>317.489</v>
      </c>
      <c r="E237" s="70">
        <f>=IF(AND(ISNUMBER(C237),ISNUMBER(D237),C237&gt;0),(C237-D237)/C237,"")</f>
        <v>0.0104598793810097</v>
      </c>
      <c r="F237" s="26" t="s"/>
      <c r="G237" s="26" t="s"/>
      <c r="I237" s="26" t="s"/>
      <c r="J237" s="26" t="s"/>
      <c r="K237" s="26" t="s"/>
    </row>
    <row r="238" spans="1:5">
      <c r="A238" s="9" t="s"/>
      <c r="B238" s="81">
        <v>96</v>
      </c>
      <c r="C238" s="30">
        <v>463.75</v>
      </c>
      <c r="D238" s="30">
        <v>395.076</v>
      </c>
      <c r="E238" s="70">
        <f>=IF(AND(ISNUMBER(C238),ISNUMBER(D238),C238&gt;0),(C238-D238)/C238,"")</f>
        <v>0.14808409703504</v>
      </c>
    </row>
    <row r="239" spans="1:5">
      <c r="A239" s="9" t="s"/>
      <c r="B239" s="29">
        <v>128</v>
      </c>
      <c r="C239" s="30">
        <v>581.571</v>
      </c>
      <c r="D239" s="30">
        <v>464.201</v>
      </c>
      <c r="E239" s="70">
        <f>=IF(AND(ISNUMBER(C239),ISNUMBER(D239),C239&gt;0),(C239-D239)/C239,"")</f>
        <v>0.201815427523037</v>
      </c>
    </row>
    <row r="240" spans="1:5">
      <c r="A240" s="9" t="s"/>
      <c r="B240" s="29">
        <v>192</v>
      </c>
      <c r="C240" s="30" t="s"/>
      <c r="D240" s="30">
        <v>694.48</v>
      </c>
      <c r="E240" s="70" t="str">
        <f>=IF(AND(ISNUMBER(C240),ISNUMBER(D240),C240&gt;0),(C240-D240)/C240,"")</f>
        <v/>
      </c>
    </row>
    <row r="241" spans="1:5">
      <c r="A241" s="9" t="s"/>
      <c r="B241" s="29">
        <v>256</v>
      </c>
      <c r="C241" s="30" t="s"/>
      <c r="D241" s="30">
        <v>840.499</v>
      </c>
      <c r="E241" s="70" t="str">
        <f>=IF(AND(ISNUMBER(C241),ISNUMBER(D241),C241&gt;0),(C241-D241)/C241,"")</f>
        <v/>
      </c>
    </row>
    <row r="243" spans="1:5">
      <c r="A243" s="12" t="s">
        <v>132</v>
      </c>
      <c r="B243" s="12" t="s"/>
      <c r="C243" s="12" t="s"/>
      <c r="D243" s="12" t="s"/>
      <c r="E243" s="12" t="s"/>
    </row>
    <row r="244" spans="1:5">
      <c r="A244" s="12" t="s">
        <v>6</v>
      </c>
      <c r="B244" s="12" t="s">
        <v>8</v>
      </c>
      <c r="C244" s="12" t="s">
        <v>52</v>
      </c>
      <c r="D244" s="12" t="s">
        <v>75</v>
      </c>
      <c r="E244" s="12" t="s">
        <v>73</v>
      </c>
    </row>
    <row r="245" spans="1:5">
      <c r="A245" s="9" t="s">
        <v>133</v>
      </c>
      <c r="B245" s="29">
        <v>1</v>
      </c>
      <c r="C245" s="30">
        <v>95.796</v>
      </c>
      <c r="D245" s="30">
        <v>144.97</v>
      </c>
      <c r="E245" s="70">
        <f>=IF(AND(ISNUMBER(C245),ISNUMBER(D245),C245&gt;0),(C245-D245)/C245,"")</f>
        <v>-0.51331997160633</v>
      </c>
    </row>
    <row r="246" spans="1:5">
      <c r="A246" s="9" t="s"/>
      <c r="B246" s="29">
        <v>2</v>
      </c>
      <c r="C246" s="30" t="s"/>
      <c r="D246" s="30">
        <v>148.002</v>
      </c>
      <c r="E246" s="70" t="str">
        <f>=IF(AND(ISNUMBER(C246),ISNUMBER(D246),C246&gt;0),(C246-D246)/C246,"")</f>
        <v/>
      </c>
    </row>
    <row r="247" spans="1:5">
      <c r="A247" s="9" t="s"/>
      <c r="B247" s="29">
        <v>4</v>
      </c>
      <c r="C247" s="30" t="s"/>
      <c r="D247" s="30">
        <v>156.956</v>
      </c>
      <c r="E247" s="70" t="str">
        <f>=IF(AND(ISNUMBER(C247),ISNUMBER(D247),C247&gt;0),(C247-D247)/C247,"")</f>
        <v/>
      </c>
    </row>
    <row r="248" spans="1:5">
      <c r="A248" s="9" t="s"/>
      <c r="B248" s="29">
        <v>8</v>
      </c>
      <c r="C248" s="30" t="s"/>
      <c r="D248" s="30">
        <v>159.39</v>
      </c>
      <c r="E248" s="70" t="str">
        <f>=IF(AND(ISNUMBER(C248),ISNUMBER(D248),C248&gt;0),(C248-D248)/C248,"")</f>
        <v/>
      </c>
    </row>
    <row r="249" spans="1:5">
      <c r="A249" s="9" t="s"/>
      <c r="B249" s="29">
        <v>16</v>
      </c>
      <c r="C249" s="30" t="s"/>
      <c r="D249" s="30">
        <v>184.358</v>
      </c>
      <c r="E249" s="70" t="str">
        <f>=IF(AND(ISNUMBER(C249),ISNUMBER(D249),C249&gt;0),(C249-D249)/C249,"")</f>
        <v/>
      </c>
    </row>
    <row r="250" spans="1:5">
      <c r="A250" s="9" t="s"/>
      <c r="B250" s="29">
        <v>32</v>
      </c>
      <c r="C250" s="30" t="s"/>
      <c r="D250" s="30">
        <v>198.594</v>
      </c>
      <c r="E250" s="70" t="str">
        <f>=IF(AND(ISNUMBER(C250),ISNUMBER(D250),C250&gt;0),(C250-D250)/C250,"")</f>
        <v/>
      </c>
    </row>
    <row r="251" spans="1:5">
      <c r="A251" s="9" t="s"/>
      <c r="B251" s="29">
        <v>48</v>
      </c>
      <c r="C251" s="30" t="s"/>
      <c r="D251" s="30">
        <v>218.995</v>
      </c>
      <c r="E251" s="70" t="str">
        <f>=IF(AND(ISNUMBER(C251),ISNUMBER(D251),C251&gt;0),(C251-D251)/C251,"")</f>
        <v/>
      </c>
    </row>
    <row r="252" spans="1:5">
      <c r="A252" s="9" t="s"/>
      <c r="B252" s="29">
        <v>64</v>
      </c>
      <c r="C252" s="30" t="s"/>
      <c r="D252" s="30">
        <v>255.287</v>
      </c>
      <c r="E252" s="70" t="str">
        <f>=IF(AND(ISNUMBER(C252),ISNUMBER(D252),C252&gt;0),(C252-D252)/C252,"")</f>
        <v/>
      </c>
    </row>
    <row r="253" spans="1:5">
      <c r="A253" s="9" t="s"/>
      <c r="B253" s="81">
        <v>96</v>
      </c>
      <c r="C253" s="30" t="s"/>
      <c r="D253" s="30">
        <v>343.534</v>
      </c>
      <c r="E253" s="70" t="str">
        <f>=IF(AND(ISNUMBER(C253),ISNUMBER(D253),C253&gt;0),(C253-D253)/C253,"")</f>
        <v/>
      </c>
    </row>
    <row r="254" spans="1:5">
      <c r="A254" s="9" t="s"/>
      <c r="B254" s="29">
        <v>128</v>
      </c>
      <c r="C254" s="30" t="s"/>
      <c r="D254" s="30">
        <v>480.765</v>
      </c>
      <c r="E254" s="70" t="str">
        <f>=IF(AND(ISNUMBER(C254),ISNUMBER(D254),C254&gt;0),(C254-D254)/C254,"")</f>
        <v/>
      </c>
    </row>
    <row r="255" spans="1:5">
      <c r="A255" s="9" t="s"/>
      <c r="B255" s="29">
        <v>192</v>
      </c>
      <c r="C255" s="30" t="s"/>
      <c r="D255" s="30">
        <v>569.188</v>
      </c>
      <c r="E255" s="70" t="str">
        <f>=IF(AND(ISNUMBER(C255),ISNUMBER(D255),C255&gt;0),(C255-D255)/C255,"")</f>
        <v/>
      </c>
    </row>
    <row r="256" spans="1:5">
      <c r="A256" s="9" t="s"/>
      <c r="B256" s="29">
        <v>256</v>
      </c>
      <c r="C256" s="30" t="s"/>
      <c r="D256" s="30">
        <v>824.57</v>
      </c>
      <c r="E256" s="70" t="str">
        <f>=IF(AND(ISNUMBER(C256),ISNUMBER(D256),C256&gt;0),(C256-D256)/C256,"")</f>
        <v/>
      </c>
    </row>
    <row r="258" spans="1:5">
      <c r="A258" s="80" t="s">
        <v>134</v>
      </c>
      <c r="B258" s="80" t="s"/>
      <c r="C258" s="80" t="s"/>
      <c r="D258" s="80" t="s"/>
      <c r="E258" s="80" t="s"/>
    </row>
    <row r="259" spans="1:5">
      <c r="A259" s="12" t="s">
        <v>6</v>
      </c>
      <c r="B259" s="12" t="s">
        <v>8</v>
      </c>
      <c r="C259" s="12" t="s">
        <v>52</v>
      </c>
      <c r="D259" s="12" t="s">
        <v>75</v>
      </c>
      <c r="E259" s="12" t="s">
        <v>73</v>
      </c>
    </row>
    <row r="260" spans="1:5">
      <c r="A260" s="9" t="s">
        <v>133</v>
      </c>
      <c r="B260" s="29">
        <v>1</v>
      </c>
      <c r="C260" s="30">
        <v>130.942</v>
      </c>
      <c r="D260" s="30">
        <v>196.769</v>
      </c>
      <c r="E260" s="70">
        <f>=IF(AND(ISNUMBER(C260),ISNUMBER(D260),C260&gt;0),(C260-D260)/C260,"")</f>
        <v>-0.502718760978143</v>
      </c>
    </row>
    <row r="261" spans="1:5">
      <c r="A261" s="9" t="s"/>
      <c r="B261" s="29">
        <v>2</v>
      </c>
      <c r="C261" s="30">
        <v>137.149</v>
      </c>
      <c r="D261" s="30">
        <v>200.823</v>
      </c>
      <c r="E261" s="70">
        <f>=IF(AND(ISNUMBER(C261),ISNUMBER(D261),C261&gt;0),(C261-D261)/C261,"")</f>
        <v>-0.464268787960539</v>
      </c>
    </row>
    <row r="262" spans="1:5">
      <c r="A262" s="9" t="s"/>
      <c r="B262" s="29">
        <v>4</v>
      </c>
      <c r="C262" s="30">
        <v>143.928</v>
      </c>
      <c r="D262" s="30">
        <v>204.823</v>
      </c>
      <c r="E262" s="70">
        <f>=IF(AND(ISNUMBER(C262),ISNUMBER(D262),C262&gt;0),(C262-D262)/C262,"")</f>
        <v>-0.42309349119004</v>
      </c>
    </row>
    <row r="263" spans="1:5">
      <c r="A263" s="9" t="s"/>
      <c r="B263" s="29">
        <v>8</v>
      </c>
      <c r="C263" s="30">
        <v>153.297</v>
      </c>
      <c r="D263" s="30">
        <v>215.207</v>
      </c>
      <c r="E263" s="70">
        <f>=IF(AND(ISNUMBER(C263),ISNUMBER(D263),C263&gt;0),(C263-D263)/C263,"")</f>
        <v>-0.403856566012381</v>
      </c>
    </row>
    <row r="264" spans="1:5">
      <c r="A264" s="9" t="s"/>
      <c r="B264" s="29">
        <v>16</v>
      </c>
      <c r="C264" s="30">
        <v>175.952</v>
      </c>
      <c r="D264" s="30">
        <v>235.004</v>
      </c>
      <c r="E264" s="70">
        <f>=IF(AND(ISNUMBER(C264),ISNUMBER(D264),C264&gt;0),(C264-D264)/C264,"")</f>
        <v>-0.335614258434118</v>
      </c>
    </row>
    <row r="265" spans="1:5">
      <c r="A265" s="9" t="s"/>
      <c r="B265" s="29">
        <v>32</v>
      </c>
      <c r="C265" s="30">
        <v>211.443</v>
      </c>
      <c r="D265" s="30">
        <v>264.97</v>
      </c>
      <c r="E265" s="70">
        <f>=IF(AND(ISNUMBER(C265),ISNUMBER(D265),C265&gt;0),(C265-D265)/C265,"")</f>
        <v>-0.253150967400198</v>
      </c>
    </row>
    <row r="266" spans="1:5">
      <c r="A266" s="9" t="s"/>
      <c r="B266" s="29">
        <v>48</v>
      </c>
      <c r="C266" s="30">
        <v>248.299</v>
      </c>
      <c r="D266" s="30">
        <v>271.761</v>
      </c>
      <c r="E266" s="70">
        <f>=IF(AND(ISNUMBER(C266),ISNUMBER(D266),C266&gt;0),(C266-D266)/C266,"")</f>
        <v>-0.0944909161937826</v>
      </c>
    </row>
    <row r="267" spans="1:5">
      <c r="A267" s="9" t="s"/>
      <c r="B267" s="29">
        <v>64</v>
      </c>
      <c r="C267" s="30">
        <v>276.253</v>
      </c>
      <c r="D267" s="30">
        <v>294.742</v>
      </c>
      <c r="E267" s="70">
        <f>=IF(AND(ISNUMBER(C267),ISNUMBER(D267),C267&gt;0),(C267-D267)/C267,"")</f>
        <v>-0.0669277799698104</v>
      </c>
    </row>
    <row r="268" spans="1:5">
      <c r="A268" s="9" t="s"/>
      <c r="B268" s="81">
        <v>96</v>
      </c>
      <c r="C268" s="30">
        <v>361.265</v>
      </c>
      <c r="D268" s="30">
        <v>326.768</v>
      </c>
      <c r="E268" s="70">
        <f>=IF(AND(ISNUMBER(C268),ISNUMBER(D268),C268&gt;0),(C268-D268)/C268,"")</f>
        <v>0.0954894606452328</v>
      </c>
    </row>
    <row r="269" spans="1:5">
      <c r="A269" s="9" t="s"/>
      <c r="B269" s="29">
        <v>128</v>
      </c>
      <c r="C269" s="30">
        <v>522.312</v>
      </c>
      <c r="D269" s="30">
        <v>380.994</v>
      </c>
      <c r="E269" s="70">
        <f>=IF(AND(ISNUMBER(C269),ISNUMBER(D269),C269&gt;0),(C269-D269)/C269,"")</f>
        <v>0.270562422460139</v>
      </c>
    </row>
    <row r="270" spans="1:5">
      <c r="A270" s="9" t="s"/>
      <c r="B270" s="29">
        <v>192</v>
      </c>
      <c r="C270" s="30" t="s"/>
      <c r="D270" s="30">
        <v>519.257</v>
      </c>
      <c r="E270" s="70" t="str">
        <f>=IF(AND(ISNUMBER(C270),ISNUMBER(D270),C270&gt;0),(C270-D270)/C270,"")</f>
        <v/>
      </c>
    </row>
    <row r="271" spans="1:5">
      <c r="A271" s="9" t="s"/>
      <c r="B271" s="29">
        <v>256</v>
      </c>
      <c r="C271" s="30" t="s"/>
      <c r="D271" s="30">
        <v>800.17</v>
      </c>
      <c r="E271" s="70" t="str">
        <f>=IF(AND(ISNUMBER(C271),ISNUMBER(D271),C271&gt;0),(C271-D271)/C271,"")</f>
        <v/>
      </c>
    </row>
    <row r="273" spans="1:5">
      <c r="A273" s="80" t="s">
        <v>135</v>
      </c>
      <c r="B273" s="80" t="s"/>
      <c r="C273" s="80" t="s"/>
      <c r="D273" s="80" t="s"/>
      <c r="E273" s="80" t="s"/>
    </row>
    <row r="274" spans="1:5">
      <c r="A274" s="12" t="s">
        <v>6</v>
      </c>
      <c r="B274" s="12" t="s">
        <v>8</v>
      </c>
      <c r="C274" s="12" t="s">
        <v>52</v>
      </c>
      <c r="D274" s="12" t="s">
        <v>75</v>
      </c>
      <c r="E274" s="12" t="s">
        <v>73</v>
      </c>
    </row>
    <row r="275" spans="1:5">
      <c r="A275" s="9" t="s">
        <v>133</v>
      </c>
      <c r="B275" s="29">
        <v>1</v>
      </c>
      <c r="C275" s="30">
        <v>136.249</v>
      </c>
      <c r="D275" s="30">
        <v>211.445</v>
      </c>
      <c r="E275" s="70">
        <f>=IF(AND(ISNUMBER(C275),ISNUMBER(D275),C275&gt;0),(C275-D275)/C275,"")</f>
        <v>-0.551901298358153</v>
      </c>
    </row>
    <row r="276" spans="1:5">
      <c r="A276" s="9" t="s"/>
      <c r="B276" s="29">
        <v>2</v>
      </c>
      <c r="C276" s="30">
        <v>200.902</v>
      </c>
      <c r="D276" s="30">
        <v>323.068</v>
      </c>
      <c r="E276" s="70">
        <f>=IF(AND(ISNUMBER(C276),ISNUMBER(D276),C276&gt;0),(C276-D276)/C276,"")</f>
        <v>-0.608087525261073</v>
      </c>
    </row>
    <row r="277" spans="1:5">
      <c r="A277" s="9" t="s"/>
      <c r="B277" s="29">
        <v>4</v>
      </c>
      <c r="C277" s="30">
        <v>208.583</v>
      </c>
      <c r="D277" s="30">
        <v>336.459</v>
      </c>
      <c r="E277" s="70">
        <f>=IF(AND(ISNUMBER(C277),ISNUMBER(D277),C277&gt;0),(C277-D277)/C277,"")</f>
        <v>-0.613070096796</v>
      </c>
    </row>
    <row r="278" spans="1:5">
      <c r="A278" s="9" t="s"/>
      <c r="B278" s="29">
        <v>8</v>
      </c>
      <c r="C278" s="30">
        <v>217.007</v>
      </c>
      <c r="D278" s="30">
        <v>341.955</v>
      </c>
      <c r="E278" s="70">
        <f>=IF(AND(ISNUMBER(C278),ISNUMBER(D278),C278&gt;0),(C278-D278)/C278,"")</f>
        <v>-0.575778661517831</v>
      </c>
    </row>
    <row r="279" spans="1:5">
      <c r="A279" s="9" t="s"/>
      <c r="B279" s="29">
        <v>16</v>
      </c>
      <c r="C279" s="30">
        <v>236.044</v>
      </c>
      <c r="D279" s="30">
        <v>353.182</v>
      </c>
      <c r="E279" s="70">
        <f>=IF(AND(ISNUMBER(C279),ISNUMBER(D279),C279&gt;0),(C279-D279)/C279,"")</f>
        <v>-0.496254935520496</v>
      </c>
    </row>
    <row r="280" spans="1:5">
      <c r="A280" s="9" t="s"/>
      <c r="B280" s="29">
        <v>32</v>
      </c>
      <c r="C280" s="30">
        <v>267.05</v>
      </c>
      <c r="D280" s="30">
        <v>371.509</v>
      </c>
      <c r="E280" s="70">
        <f>=IF(AND(ISNUMBER(C280),ISNUMBER(D280),C280&gt;0),(C280-D280)/C280,"")</f>
        <v>-0.391158958996443</v>
      </c>
    </row>
    <row r="281" spans="1:5">
      <c r="A281" s="9" t="s"/>
      <c r="B281" s="29">
        <v>48</v>
      </c>
      <c r="C281" s="30">
        <v>296.08</v>
      </c>
      <c r="D281" s="30">
        <v>385.796</v>
      </c>
      <c r="E281" s="70">
        <f>=IF(AND(ISNUMBER(C281),ISNUMBER(D281),C281&gt;0),(C281-D281)/C281,"")</f>
        <v>-0.303012699270468</v>
      </c>
    </row>
    <row r="282" spans="1:5">
      <c r="A282" s="9" t="s"/>
      <c r="B282" s="29">
        <v>64</v>
      </c>
      <c r="C282" s="30">
        <v>328.99</v>
      </c>
      <c r="D282" s="30">
        <v>400.697</v>
      </c>
      <c r="E282" s="70">
        <f>=IF(AND(ISNUMBER(C282),ISNUMBER(D282),C282&gt;0),(C282-D282)/C282,"")</f>
        <v>-0.21796103225022</v>
      </c>
    </row>
    <row r="283" spans="1:5">
      <c r="A283" s="9" t="s"/>
      <c r="B283" s="81">
        <v>96</v>
      </c>
      <c r="C283" s="30">
        <v>398.517</v>
      </c>
      <c r="D283" s="30">
        <v>416.482</v>
      </c>
      <c r="E283" s="70">
        <f>=IF(AND(ISNUMBER(C283),ISNUMBER(D283),C283&gt;0),(C283-D283)/C283,"")</f>
        <v>-0.0450796327383776</v>
      </c>
    </row>
    <row r="284" spans="1:5">
      <c r="A284" s="9" t="s"/>
      <c r="B284" s="29">
        <v>128</v>
      </c>
      <c r="C284" s="30">
        <v>473.684</v>
      </c>
      <c r="D284" s="30">
        <v>443.599</v>
      </c>
      <c r="E284" s="70">
        <f>=IF(AND(ISNUMBER(C284),ISNUMBER(D284),C284&gt;0),(C284-D284)/C284,"")</f>
        <v>0.0635128060056917</v>
      </c>
    </row>
    <row r="285" spans="1:5">
      <c r="A285" s="9" t="s"/>
      <c r="B285" s="29">
        <v>192</v>
      </c>
      <c r="C285" s="30" t="s"/>
      <c r="D285" s="30">
        <v>522.416</v>
      </c>
      <c r="E285" s="70" t="str">
        <f>=IF(AND(ISNUMBER(C285),ISNUMBER(D285),C285&gt;0),(C285-D285)/C285,"")</f>
        <v/>
      </c>
    </row>
    <row r="286" spans="1:5">
      <c r="A286" s="9" t="s"/>
      <c r="B286" s="29">
        <v>256</v>
      </c>
      <c r="C286" s="30" t="s"/>
      <c r="D286" s="30">
        <v>654.377</v>
      </c>
      <c r="E286" s="70" t="str">
        <f>=IF(AND(ISNUMBER(C286),ISNUMBER(D286),C286&gt;0),(C286-D286)/C286,"")</f>
        <v/>
      </c>
    </row>
  </sheetData>
  <sheetProtection formatCells="0" insertHyperlinks="0" autoFilter="0"/>
  <mergeCells count="84">
    <mergeCell ref="P7:P10"/>
    <mergeCell ref="A275:A286"/>
    <mergeCell ref="I7:I18"/>
    <mergeCell ref="I24:I35"/>
    <mergeCell ref="I41:I52"/>
    <mergeCell ref="I58:I69"/>
    <mergeCell ref="I75:I86"/>
    <mergeCell ref="I92:I103"/>
    <mergeCell ref="I109:I120"/>
    <mergeCell ref="I126:I137"/>
    <mergeCell ref="A126:A137"/>
    <mergeCell ref="A149:A160"/>
    <mergeCell ref="A166:A177"/>
    <mergeCell ref="A183:A194"/>
    <mergeCell ref="A200:A211"/>
    <mergeCell ref="A24:A35"/>
    <mergeCell ref="A75:A86"/>
    <mergeCell ref="A92:A103"/>
    <mergeCell ref="A227:D227"/>
    <mergeCell ref="A195:E195"/>
    <mergeCell ref="A198:E198"/>
    <mergeCell ref="A212:E212"/>
    <mergeCell ref="A215:K215"/>
    <mergeCell ref="A216:D216"/>
    <mergeCell ref="A147:E147"/>
    <mergeCell ref="A161:E161"/>
    <mergeCell ref="A164:E164"/>
    <mergeCell ref="A178:E178"/>
    <mergeCell ref="A181:E181"/>
    <mergeCell ref="A138:E138"/>
    <mergeCell ref="A228:E228"/>
    <mergeCell ref="A243:E243"/>
    <mergeCell ref="A258:E258"/>
    <mergeCell ref="A273:E273"/>
    <mergeCell ref="A230:A241"/>
    <mergeCell ref="A245:A256"/>
    <mergeCell ref="A260:A271"/>
    <mergeCell ref="I138:M138"/>
    <mergeCell ref="A143:E143"/>
    <mergeCell ref="A144:E144"/>
    <mergeCell ref="A145:B145"/>
    <mergeCell ref="C145:E145"/>
    <mergeCell ref="A107:E107"/>
    <mergeCell ref="I107:M107"/>
    <mergeCell ref="A121:E121"/>
    <mergeCell ref="I121:M121"/>
    <mergeCell ref="A124:E124"/>
    <mergeCell ref="I124:M124"/>
    <mergeCell ref="A109:A120"/>
    <mergeCell ref="A87:E87"/>
    <mergeCell ref="I87:M87"/>
    <mergeCell ref="A90:E90"/>
    <mergeCell ref="I90:M90"/>
    <mergeCell ref="A104:E104"/>
    <mergeCell ref="I104:M104"/>
    <mergeCell ref="A56:E56"/>
    <mergeCell ref="I56:M56"/>
    <mergeCell ref="A70:E70"/>
    <mergeCell ref="I70:M70"/>
    <mergeCell ref="A73:E73"/>
    <mergeCell ref="I73:M73"/>
    <mergeCell ref="A58:A69"/>
    <mergeCell ref="A36:E36"/>
    <mergeCell ref="I36:M36"/>
    <mergeCell ref="A39:E39"/>
    <mergeCell ref="I39:M39"/>
    <mergeCell ref="A53:E53"/>
    <mergeCell ref="I53:M53"/>
    <mergeCell ref="A41:A52"/>
    <mergeCell ref="A5:E5"/>
    <mergeCell ref="I5:M5"/>
    <mergeCell ref="A19:E19"/>
    <mergeCell ref="I19:M19"/>
    <mergeCell ref="A22:E22"/>
    <mergeCell ref="I22:M22"/>
    <mergeCell ref="A7:A18"/>
    <mergeCell ref="A1:E1"/>
    <mergeCell ref="I1:M1"/>
    <mergeCell ref="A2:E2"/>
    <mergeCell ref="I2:M2"/>
    <mergeCell ref="A3:B3"/>
    <mergeCell ref="C3:E3"/>
    <mergeCell ref="I3:J3"/>
    <mergeCell ref="K3:M3"/>
  </mergeCells>
  <conditionalFormatting sqref="E275:E286">
    <cfRule type="colorScale" priority="1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260:E271">
    <cfRule type="colorScale" priority="2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245:E256">
    <cfRule type="colorScale" priority="3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G7:G18">
    <cfRule type="colorScale" priority="4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230:E241">
    <cfRule type="colorScale" priority="5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J229:J236">
    <cfRule type="colorScale" priority="6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J218:J225">
    <cfRule type="colorScale" priority="7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214:F214">
    <cfRule type="colorScale" priority="8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82">
    <cfRule type="colorScale" priority="9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82:F82">
    <cfRule type="colorScale" priority="10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7:M18">
    <cfRule type="colorScale" priority="11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24:M35">
    <cfRule type="colorScale" priority="12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41:M52">
    <cfRule type="colorScale" priority="13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58:M69">
    <cfRule type="colorScale" priority="14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75:M81 M83:M86">
    <cfRule type="colorScale" priority="15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92:M103">
    <cfRule type="colorScale" priority="16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109:M120">
    <cfRule type="colorScale" priority="17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M126:M137">
    <cfRule type="colorScale" priority="18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7:E18">
    <cfRule type="colorScale" priority="19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24:E35">
    <cfRule type="colorScale" priority="20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41:E52">
    <cfRule type="colorScale" priority="21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58:F69">
    <cfRule type="colorScale" priority="22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75:F81 E83:F86">
    <cfRule type="colorScale" priority="23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92:E103">
    <cfRule type="colorScale" priority="24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109:F120">
    <cfRule type="colorScale" priority="25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126:F137">
    <cfRule type="colorScale" priority="26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149:F160">
    <cfRule type="colorScale" priority="27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166:F177">
    <cfRule type="colorScale" priority="28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183:F194">
    <cfRule type="colorScale" priority="29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conditionalFormatting sqref="E200:F211">
    <cfRule type="colorScale" priority="30">
      <colorScale>
        <cfvo type="num" val="-0.35"/>
        <cfvo type="num" val="0"/>
        <cfvo type="num" val="0.15"/>
        <color rgb="FFF8696B"/>
        <color rgb="FFFFEB84"/>
        <color rgb="FF63BE7B"/>
      </colorScale>
    </cfRule>
  </conditionalFormatting>
  <pageMargins left="0.25" right="0.25" top="0.305556" bottom="0.305556" header="0.3" footer="0.3"/>
  <pageSetup paperSize="9" scale="70" fitToHeight="0" orientation="portrait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2026-10-23T16:19:35Z</dcterms:created>
  <dcterms:modified xsi:type="dcterms:W3CDTF">2026-10-23T16:19:35Z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_readonly">
    <vt:lpwstr/>
  </property>
  <property fmtid="{D5CDD505-2E9C-101B-9397-08002B2CF9AE}" pid="4" name="_change">
    <vt:lpwstr/>
  </property>
  <property fmtid="{D5CDD505-2E9C-101B-9397-08002B2CF9AE}" pid="5" name="_full-control">
    <vt:lpwstr/>
  </property>
  <property fmtid="{D5CDD505-2E9C-101B-9397-08002B2CF9AE}" pid="6" name="sflag">
    <vt:lpwstr>1791428798</vt:lpwstr>
  </property>
</Properties>
</file>